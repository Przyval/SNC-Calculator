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NC-calc\API\storage\app\templates\"/>
    </mc:Choice>
  </mc:AlternateContent>
  <xr:revisionPtr revIDLastSave="0" documentId="13_ncr:1_{7496B471-F27B-454A-B9DF-C29DFD99DF0E}" xr6:coauthVersionLast="47" xr6:coauthVersionMax="47" xr10:uidLastSave="{00000000-0000-0000-0000-000000000000}"/>
  <bookViews>
    <workbookView xWindow="-110" yWindow="-110" windowWidth="25820" windowHeight="15500" firstSheet="2" activeTab="2" xr2:uid="{00000000-000D-0000-FFFF-FFFF00000000}"/>
  </bookViews>
  <sheets>
    <sheet name="GPC RC" sheetId="8" state="hidden" r:id="rId1"/>
    <sheet name="TC (Agenda Premise)" sheetId="2" state="hidden" r:id="rId2"/>
    <sheet name="TC - Expose Agadi" sheetId="14" r:id="rId3"/>
    <sheet name="Cost" sheetId="9" state="hidden" r:id="rId4"/>
    <sheet name="PH Umum 2024" sheetId="3" r:id="rId5"/>
    <sheet name="PH GPC RC 2024" sheetId="5" state="hidden" r:id="rId6"/>
    <sheet name="PH TC 2024" sheetId="4" state="hidden" r:id="rId7"/>
    <sheet name="PH TC 2 2024" sheetId="13" r:id="rId8"/>
  </sheets>
  <definedNames>
    <definedName name="_xlnm.Print_Area" localSheetId="0">'GPC RC'!$A$1:$K$126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7" i="14" l="1"/>
  <c r="C21" i="14"/>
  <c r="M65" i="14"/>
  <c r="M67" i="14" s="1"/>
  <c r="J66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65" i="14"/>
  <c r="E34" i="14"/>
  <c r="C21" i="2"/>
  <c r="M66" i="2"/>
  <c r="F35" i="9"/>
  <c r="F36" i="9"/>
  <c r="C21" i="8"/>
  <c r="B32" i="3"/>
  <c r="E32" i="3" s="1"/>
  <c r="A100" i="14"/>
  <c r="A99" i="14"/>
  <c r="A98" i="14"/>
  <c r="A97" i="14"/>
  <c r="A96" i="14"/>
  <c r="K51" i="14"/>
  <c r="O4" i="14" s="1"/>
  <c r="J47" i="14"/>
  <c r="O16" i="14"/>
  <c r="E359" i="13"/>
  <c r="E358" i="13"/>
  <c r="E357" i="13"/>
  <c r="E356" i="13"/>
  <c r="E355" i="13"/>
  <c r="E354" i="13"/>
  <c r="E353" i="13"/>
  <c r="E352" i="13"/>
  <c r="E351" i="13"/>
  <c r="E347" i="13"/>
  <c r="E346" i="13"/>
  <c r="E345" i="13"/>
  <c r="E344" i="13"/>
  <c r="E343" i="13"/>
  <c r="E342" i="13"/>
  <c r="E341" i="13"/>
  <c r="E340" i="13"/>
  <c r="E339" i="13"/>
  <c r="E335" i="13"/>
  <c r="E334" i="13"/>
  <c r="E333" i="13"/>
  <c r="E332" i="13"/>
  <c r="E331" i="13"/>
  <c r="E330" i="13"/>
  <c r="E329" i="13"/>
  <c r="E328" i="13"/>
  <c r="E327" i="13"/>
  <c r="E323" i="13"/>
  <c r="E322" i="13"/>
  <c r="E321" i="13"/>
  <c r="E320" i="13"/>
  <c r="E319" i="13"/>
  <c r="E318" i="13"/>
  <c r="E317" i="13"/>
  <c r="E316" i="13"/>
  <c r="E315" i="13"/>
  <c r="E311" i="13"/>
  <c r="E310" i="13"/>
  <c r="E309" i="13"/>
  <c r="E308" i="13"/>
  <c r="E307" i="13"/>
  <c r="E306" i="13"/>
  <c r="E305" i="13"/>
  <c r="E304" i="13"/>
  <c r="E303" i="13"/>
  <c r="E299" i="13"/>
  <c r="E298" i="13"/>
  <c r="E297" i="13"/>
  <c r="E296" i="13"/>
  <c r="E295" i="13"/>
  <c r="E294" i="13"/>
  <c r="E293" i="13"/>
  <c r="E292" i="13"/>
  <c r="E291" i="13"/>
  <c r="E287" i="13"/>
  <c r="E286" i="13"/>
  <c r="E285" i="13"/>
  <c r="E284" i="13"/>
  <c r="E283" i="13"/>
  <c r="E282" i="13"/>
  <c r="E281" i="13"/>
  <c r="E280" i="13"/>
  <c r="E279" i="13"/>
  <c r="E275" i="13"/>
  <c r="E274" i="13"/>
  <c r="E273" i="13"/>
  <c r="E272" i="13"/>
  <c r="E271" i="13"/>
  <c r="E270" i="13"/>
  <c r="E269" i="13"/>
  <c r="E268" i="13"/>
  <c r="E267" i="13"/>
  <c r="E263" i="13"/>
  <c r="E262" i="13"/>
  <c r="E261" i="13"/>
  <c r="E260" i="13"/>
  <c r="E259" i="13"/>
  <c r="E258" i="13"/>
  <c r="E257" i="13"/>
  <c r="E256" i="13"/>
  <c r="E255" i="13"/>
  <c r="E251" i="13"/>
  <c r="E250" i="13"/>
  <c r="E249" i="13"/>
  <c r="E248" i="13"/>
  <c r="E247" i="13"/>
  <c r="E246" i="13"/>
  <c r="E245" i="13"/>
  <c r="E244" i="13"/>
  <c r="E243" i="13"/>
  <c r="E239" i="13"/>
  <c r="E238" i="13"/>
  <c r="E237" i="13"/>
  <c r="E236" i="13"/>
  <c r="E235" i="13"/>
  <c r="E234" i="13"/>
  <c r="E233" i="13"/>
  <c r="E232" i="13"/>
  <c r="E231" i="13"/>
  <c r="E227" i="13"/>
  <c r="E226" i="13"/>
  <c r="E225" i="13"/>
  <c r="E224" i="13"/>
  <c r="E223" i="13"/>
  <c r="E222" i="13"/>
  <c r="E221" i="13"/>
  <c r="E220" i="13"/>
  <c r="E219" i="13"/>
  <c r="E215" i="13"/>
  <c r="E214" i="13"/>
  <c r="E213" i="13"/>
  <c r="E212" i="13"/>
  <c r="E211" i="13"/>
  <c r="E210" i="13"/>
  <c r="E209" i="13"/>
  <c r="E208" i="13"/>
  <c r="E207" i="13"/>
  <c r="E203" i="13"/>
  <c r="E202" i="13"/>
  <c r="E201" i="13"/>
  <c r="E200" i="13"/>
  <c r="E199" i="13"/>
  <c r="E198" i="13"/>
  <c r="E197" i="13"/>
  <c r="E196" i="13"/>
  <c r="E195" i="13"/>
  <c r="E191" i="13"/>
  <c r="E190" i="13"/>
  <c r="E189" i="13"/>
  <c r="E188" i="13"/>
  <c r="E187" i="13"/>
  <c r="E186" i="13"/>
  <c r="E185" i="13"/>
  <c r="E184" i="13"/>
  <c r="E183" i="13"/>
  <c r="E179" i="13"/>
  <c r="E178" i="13"/>
  <c r="E177" i="13"/>
  <c r="E176" i="13"/>
  <c r="E175" i="13"/>
  <c r="E174" i="13"/>
  <c r="E173" i="13"/>
  <c r="E172" i="13"/>
  <c r="E171" i="13"/>
  <c r="E167" i="13"/>
  <c r="E166" i="13"/>
  <c r="E165" i="13"/>
  <c r="E164" i="13"/>
  <c r="E163" i="13"/>
  <c r="E162" i="13"/>
  <c r="E161" i="13"/>
  <c r="E160" i="13"/>
  <c r="E159" i="13"/>
  <c r="E155" i="13"/>
  <c r="E154" i="13"/>
  <c r="E153" i="13"/>
  <c r="E152" i="13"/>
  <c r="E151" i="13"/>
  <c r="E150" i="13"/>
  <c r="E149" i="13"/>
  <c r="E148" i="13"/>
  <c r="E147" i="13"/>
  <c r="E143" i="13"/>
  <c r="E142" i="13"/>
  <c r="E141" i="13"/>
  <c r="E140" i="13"/>
  <c r="E139" i="13"/>
  <c r="E138" i="13"/>
  <c r="E137" i="13"/>
  <c r="E136" i="13"/>
  <c r="E135" i="13"/>
  <c r="E131" i="13"/>
  <c r="E130" i="13"/>
  <c r="E129" i="13"/>
  <c r="E128" i="13"/>
  <c r="E127" i="13"/>
  <c r="E126" i="13"/>
  <c r="E125" i="13"/>
  <c r="E124" i="13"/>
  <c r="E123" i="13"/>
  <c r="E119" i="13"/>
  <c r="E118" i="13"/>
  <c r="E117" i="13"/>
  <c r="E116" i="13"/>
  <c r="E115" i="13"/>
  <c r="E114" i="13"/>
  <c r="E113" i="13"/>
  <c r="E112" i="13"/>
  <c r="E111" i="13"/>
  <c r="E107" i="13"/>
  <c r="E106" i="13"/>
  <c r="E105" i="13"/>
  <c r="E104" i="13"/>
  <c r="E103" i="13"/>
  <c r="E102" i="13"/>
  <c r="E101" i="13"/>
  <c r="E100" i="13"/>
  <c r="E99" i="13"/>
  <c r="E95" i="13"/>
  <c r="E94" i="13"/>
  <c r="E93" i="13"/>
  <c r="E92" i="13"/>
  <c r="E91" i="13"/>
  <c r="E90" i="13"/>
  <c r="E89" i="13"/>
  <c r="E88" i="13"/>
  <c r="E87" i="13"/>
  <c r="E83" i="13"/>
  <c r="E82" i="13"/>
  <c r="E81" i="13"/>
  <c r="E80" i="13"/>
  <c r="E79" i="13"/>
  <c r="E78" i="13"/>
  <c r="E77" i="13"/>
  <c r="B76" i="13"/>
  <c r="E75" i="13"/>
  <c r="E71" i="13"/>
  <c r="E70" i="13"/>
  <c r="E69" i="13"/>
  <c r="E68" i="13"/>
  <c r="E67" i="13"/>
  <c r="E66" i="13"/>
  <c r="E65" i="13"/>
  <c r="E64" i="13"/>
  <c r="E63" i="13"/>
  <c r="E59" i="13"/>
  <c r="E58" i="13"/>
  <c r="E57" i="13"/>
  <c r="E56" i="13"/>
  <c r="E55" i="13"/>
  <c r="B54" i="13"/>
  <c r="E53" i="13"/>
  <c r="E52" i="13"/>
  <c r="E51" i="13"/>
  <c r="E47" i="13"/>
  <c r="E46" i="13"/>
  <c r="E45" i="13"/>
  <c r="E44" i="13"/>
  <c r="B43" i="13"/>
  <c r="E42" i="13"/>
  <c r="E41" i="13"/>
  <c r="E40" i="13"/>
  <c r="E39" i="13"/>
  <c r="F29" i="9"/>
  <c r="F30" i="9"/>
  <c r="F31" i="9"/>
  <c r="F32" i="9"/>
  <c r="F33" i="9"/>
  <c r="F34" i="9"/>
  <c r="F37" i="9"/>
  <c r="E593" i="5"/>
  <c r="E580" i="5"/>
  <c r="E546" i="5"/>
  <c r="E559" i="5"/>
  <c r="E557" i="5"/>
  <c r="E556" i="5"/>
  <c r="E549" i="5"/>
  <c r="E547" i="5"/>
  <c r="E545" i="5"/>
  <c r="E459" i="5"/>
  <c r="B107" i="8"/>
  <c r="E522" i="5"/>
  <c r="E500" i="5"/>
  <c r="E515" i="5"/>
  <c r="E513" i="5"/>
  <c r="E512" i="5"/>
  <c r="E511" i="5"/>
  <c r="E528" i="5"/>
  <c r="E527" i="5"/>
  <c r="E526" i="5"/>
  <c r="E447" i="5"/>
  <c r="E457" i="5"/>
  <c r="E456" i="5"/>
  <c r="M66" i="14" l="1"/>
  <c r="K64" i="14"/>
  <c r="O5" i="14" s="1"/>
  <c r="F181" i="13"/>
  <c r="F289" i="13"/>
  <c r="E31" i="14"/>
  <c r="E29" i="14"/>
  <c r="E30" i="14"/>
  <c r="E32" i="14"/>
  <c r="E27" i="14"/>
  <c r="E33" i="14"/>
  <c r="E28" i="14"/>
  <c r="F217" i="13"/>
  <c r="F241" i="13"/>
  <c r="F109" i="13"/>
  <c r="F133" i="13"/>
  <c r="F145" i="13"/>
  <c r="F325" i="13"/>
  <c r="F253" i="13"/>
  <c r="F61" i="13"/>
  <c r="F121" i="13"/>
  <c r="F229" i="13"/>
  <c r="F337" i="13"/>
  <c r="F169" i="13"/>
  <c r="F85" i="13"/>
  <c r="F193" i="13"/>
  <c r="F301" i="13"/>
  <c r="F157" i="13"/>
  <c r="F265" i="13"/>
  <c r="F97" i="13"/>
  <c r="F205" i="13"/>
  <c r="F313" i="13"/>
  <c r="F349" i="13"/>
  <c r="F277" i="13"/>
  <c r="E448" i="5"/>
  <c r="E449" i="5"/>
  <c r="E450" i="5"/>
  <c r="B67" i="8"/>
  <c r="B104" i="8"/>
  <c r="V7" i="9"/>
  <c r="V8" i="9"/>
  <c r="V9" i="9"/>
  <c r="V6" i="9"/>
  <c r="S11" i="9"/>
  <c r="D415" i="5"/>
  <c r="D403" i="5" l="1"/>
  <c r="A87" i="8"/>
  <c r="B291" i="5"/>
  <c r="B243" i="5"/>
  <c r="E88" i="5"/>
  <c r="E87" i="5"/>
  <c r="D208" i="5"/>
  <c r="D196" i="5"/>
  <c r="E136" i="5"/>
  <c r="E135" i="5"/>
  <c r="E64" i="5"/>
  <c r="E63" i="5"/>
  <c r="B70" i="8"/>
  <c r="E41" i="5"/>
  <c r="E40" i="5"/>
  <c r="E39" i="5"/>
  <c r="F48" i="9" l="1"/>
  <c r="F47" i="9"/>
  <c r="F46" i="9"/>
  <c r="M35" i="9"/>
  <c r="N35" i="9" s="1"/>
  <c r="F45" i="9"/>
  <c r="M34" i="9"/>
  <c r="N34" i="9" s="1"/>
  <c r="F44" i="9"/>
  <c r="M33" i="9"/>
  <c r="N33" i="9" s="1"/>
  <c r="F43" i="9"/>
  <c r="M32" i="9"/>
  <c r="N32" i="9" s="1"/>
  <c r="F42" i="9"/>
  <c r="M31" i="9"/>
  <c r="N31" i="9" s="1"/>
  <c r="F41" i="9"/>
  <c r="M30" i="9"/>
  <c r="N30" i="9" s="1"/>
  <c r="F40" i="9"/>
  <c r="M29" i="9"/>
  <c r="N29" i="9" s="1"/>
  <c r="M28" i="9"/>
  <c r="N28" i="9" s="1"/>
  <c r="M27" i="9"/>
  <c r="N27" i="9" s="1"/>
  <c r="F28" i="9"/>
  <c r="M26" i="9"/>
  <c r="N26" i="9" s="1"/>
  <c r="F27" i="9"/>
  <c r="M25" i="9"/>
  <c r="N25" i="9" s="1"/>
  <c r="F26" i="9"/>
  <c r="M24" i="9"/>
  <c r="N24" i="9" s="1"/>
  <c r="F25" i="9"/>
  <c r="M23" i="9"/>
  <c r="N23" i="9" s="1"/>
  <c r="F24" i="9"/>
  <c r="M22" i="9"/>
  <c r="N22" i="9" s="1"/>
  <c r="F23" i="9"/>
  <c r="M21" i="9"/>
  <c r="N21" i="9" s="1"/>
  <c r="F22" i="9"/>
  <c r="M20" i="9"/>
  <c r="N20" i="9" s="1"/>
  <c r="F21" i="9"/>
  <c r="M19" i="9"/>
  <c r="N19" i="9" s="1"/>
  <c r="F20" i="9"/>
  <c r="M18" i="9"/>
  <c r="N18" i="9" s="1"/>
  <c r="F19" i="9"/>
  <c r="M17" i="9"/>
  <c r="N17" i="9" s="1"/>
  <c r="F18" i="9"/>
  <c r="M16" i="9"/>
  <c r="N16" i="9" s="1"/>
  <c r="F17" i="9"/>
  <c r="M15" i="9"/>
  <c r="N15" i="9" s="1"/>
  <c r="F16" i="9"/>
  <c r="M14" i="9"/>
  <c r="N14" i="9" s="1"/>
  <c r="F15" i="9"/>
  <c r="M13" i="9"/>
  <c r="N13" i="9" s="1"/>
  <c r="M12" i="9"/>
  <c r="N12" i="9" s="1"/>
  <c r="M11" i="9"/>
  <c r="N11" i="9" s="1"/>
  <c r="F11" i="9"/>
  <c r="M10" i="9"/>
  <c r="N10" i="9" s="1"/>
  <c r="F10" i="9"/>
  <c r="M9" i="9"/>
  <c r="N9" i="9" s="1"/>
  <c r="F9" i="9"/>
  <c r="M8" i="9"/>
  <c r="N8" i="9" s="1"/>
  <c r="F8" i="9"/>
  <c r="M7" i="9"/>
  <c r="N7" i="9" s="1"/>
  <c r="F7" i="9"/>
  <c r="F6" i="9"/>
  <c r="F38" i="9" l="1"/>
  <c r="F13" i="9"/>
  <c r="V11" i="9"/>
  <c r="K6" i="9" s="1"/>
  <c r="M6" i="9" s="1"/>
  <c r="M36" i="9" s="1"/>
  <c r="F49" i="9"/>
  <c r="N6" i="9" l="1"/>
  <c r="N36" i="9" s="1"/>
  <c r="F50" i="9"/>
  <c r="N22" i="8" s="1"/>
  <c r="A126" i="8" l="1"/>
  <c r="A125" i="8"/>
  <c r="A124" i="8"/>
  <c r="A123" i="8"/>
  <c r="A122" i="8"/>
  <c r="B115" i="8"/>
  <c r="B114" i="8"/>
  <c r="B113" i="8"/>
  <c r="B112" i="8"/>
  <c r="B111" i="8"/>
  <c r="B110" i="8"/>
  <c r="B109" i="8"/>
  <c r="B108" i="8"/>
  <c r="B106" i="8"/>
  <c r="B105" i="8"/>
  <c r="J101" i="8"/>
  <c r="J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69" i="8"/>
  <c r="B68" i="8"/>
  <c r="B66" i="8"/>
  <c r="B65" i="8"/>
  <c r="K51" i="8"/>
  <c r="O4" i="8" s="1"/>
  <c r="E33" i="8"/>
  <c r="O16" i="8"/>
  <c r="E28" i="8" l="1"/>
  <c r="E32" i="8"/>
  <c r="E27" i="8"/>
  <c r="E31" i="8"/>
  <c r="E30" i="8"/>
  <c r="E34" i="8"/>
  <c r="E29" i="8"/>
  <c r="E415" i="5" l="1"/>
  <c r="E414" i="5"/>
  <c r="E413" i="5"/>
  <c r="E412" i="5"/>
  <c r="E411" i="5"/>
  <c r="E29" i="5"/>
  <c r="E28" i="5"/>
  <c r="E27" i="5"/>
  <c r="B64" i="4" l="1"/>
  <c r="B31" i="4"/>
  <c r="B42" i="4"/>
  <c r="E30" i="2"/>
  <c r="E719" i="5"/>
  <c r="E718" i="5"/>
  <c r="E717" i="5"/>
  <c r="E716" i="5"/>
  <c r="E715" i="5"/>
  <c r="E714" i="5"/>
  <c r="E713" i="5"/>
  <c r="E712" i="5"/>
  <c r="E711" i="5"/>
  <c r="E707" i="5"/>
  <c r="E706" i="5"/>
  <c r="E705" i="5"/>
  <c r="E704" i="5"/>
  <c r="E703" i="5"/>
  <c r="E702" i="5"/>
  <c r="E701" i="5"/>
  <c r="E700" i="5"/>
  <c r="E699" i="5"/>
  <c r="E695" i="5"/>
  <c r="E694" i="5"/>
  <c r="E693" i="5"/>
  <c r="E692" i="5"/>
  <c r="E691" i="5"/>
  <c r="E690" i="5"/>
  <c r="E689" i="5"/>
  <c r="E688" i="5"/>
  <c r="E687" i="5"/>
  <c r="E683" i="5"/>
  <c r="E682" i="5"/>
  <c r="E681" i="5"/>
  <c r="E680" i="5"/>
  <c r="E679" i="5"/>
  <c r="E678" i="5"/>
  <c r="E677" i="5"/>
  <c r="E676" i="5"/>
  <c r="E675" i="5"/>
  <c r="E671" i="5"/>
  <c r="E670" i="5"/>
  <c r="E669" i="5"/>
  <c r="E668" i="5"/>
  <c r="E667" i="5"/>
  <c r="E666" i="5"/>
  <c r="E665" i="5"/>
  <c r="E664" i="5"/>
  <c r="E663" i="5"/>
  <c r="E659" i="5"/>
  <c r="E658" i="5"/>
  <c r="E657" i="5"/>
  <c r="E656" i="5"/>
  <c r="E655" i="5"/>
  <c r="E654" i="5"/>
  <c r="E653" i="5"/>
  <c r="E652" i="5"/>
  <c r="E651" i="5"/>
  <c r="E647" i="5"/>
  <c r="E646" i="5"/>
  <c r="E645" i="5"/>
  <c r="E644" i="5"/>
  <c r="E643" i="5"/>
  <c r="E642" i="5"/>
  <c r="E641" i="5"/>
  <c r="E640" i="5"/>
  <c r="E639" i="5"/>
  <c r="E635" i="5"/>
  <c r="E634" i="5"/>
  <c r="E633" i="5"/>
  <c r="E632" i="5"/>
  <c r="E631" i="5"/>
  <c r="E630" i="5"/>
  <c r="E629" i="5"/>
  <c r="E628" i="5"/>
  <c r="E627" i="5"/>
  <c r="E623" i="5"/>
  <c r="E622" i="5"/>
  <c r="E621" i="5"/>
  <c r="E620" i="5"/>
  <c r="E619" i="5"/>
  <c r="E618" i="5"/>
  <c r="E617" i="5"/>
  <c r="E616" i="5"/>
  <c r="E615" i="5"/>
  <c r="E611" i="5"/>
  <c r="E610" i="5"/>
  <c r="E609" i="5"/>
  <c r="E607" i="5"/>
  <c r="E606" i="5"/>
  <c r="E605" i="5"/>
  <c r="E604" i="5"/>
  <c r="E603" i="5"/>
  <c r="E599" i="5"/>
  <c r="E598" i="5"/>
  <c r="E597" i="5"/>
  <c r="E595" i="5"/>
  <c r="E594" i="5"/>
  <c r="E592" i="5"/>
  <c r="E588" i="5"/>
  <c r="E587" i="5"/>
  <c r="E586" i="5"/>
  <c r="E584" i="5"/>
  <c r="E583" i="5"/>
  <c r="E582" i="5"/>
  <c r="E581" i="5"/>
  <c r="E576" i="5"/>
  <c r="E575" i="5"/>
  <c r="E574" i="5"/>
  <c r="E573" i="5"/>
  <c r="E572" i="5"/>
  <c r="E570" i="5"/>
  <c r="E569" i="5"/>
  <c r="E568" i="5"/>
  <c r="E564" i="5"/>
  <c r="E552" i="5"/>
  <c r="E551" i="5"/>
  <c r="E550" i="5"/>
  <c r="E541" i="5"/>
  <c r="E540" i="5"/>
  <c r="E539" i="5"/>
  <c r="E538" i="5"/>
  <c r="E537" i="5"/>
  <c r="E535" i="5"/>
  <c r="E534" i="5"/>
  <c r="E533" i="5"/>
  <c r="E529" i="5"/>
  <c r="E525" i="5"/>
  <c r="E523" i="5"/>
  <c r="E518" i="5"/>
  <c r="E517" i="5"/>
  <c r="E516" i="5"/>
  <c r="E507" i="5"/>
  <c r="E506" i="5"/>
  <c r="E505" i="5"/>
  <c r="E504" i="5"/>
  <c r="E503" i="5"/>
  <c r="E501" i="5"/>
  <c r="E499" i="5"/>
  <c r="E495" i="5"/>
  <c r="E494" i="5"/>
  <c r="E493" i="5"/>
  <c r="E492" i="5"/>
  <c r="E491" i="5"/>
  <c r="E489" i="5"/>
  <c r="E488" i="5"/>
  <c r="E487" i="5"/>
  <c r="E477" i="5"/>
  <c r="E476" i="5"/>
  <c r="E475" i="5"/>
  <c r="E471" i="5"/>
  <c r="E470" i="5"/>
  <c r="E469" i="5"/>
  <c r="E468" i="5"/>
  <c r="E467" i="5"/>
  <c r="E452" i="5"/>
  <c r="E451" i="5"/>
  <c r="E443" i="5"/>
  <c r="E442" i="5"/>
  <c r="E441" i="5"/>
  <c r="E440" i="5"/>
  <c r="E439" i="5"/>
  <c r="E438" i="5"/>
  <c r="E437" i="5"/>
  <c r="E436" i="5"/>
  <c r="E435" i="5"/>
  <c r="E431" i="5"/>
  <c r="E430" i="5"/>
  <c r="E429" i="5"/>
  <c r="E428" i="5"/>
  <c r="E427" i="5"/>
  <c r="E426" i="5"/>
  <c r="E425" i="5"/>
  <c r="E424" i="5"/>
  <c r="E423" i="5"/>
  <c r="E419" i="5"/>
  <c r="E418" i="5"/>
  <c r="E417" i="5"/>
  <c r="E407" i="5"/>
  <c r="E406" i="5"/>
  <c r="E405" i="5"/>
  <c r="E403" i="5"/>
  <c r="E402" i="5"/>
  <c r="E401" i="5"/>
  <c r="E400" i="5"/>
  <c r="E399" i="5"/>
  <c r="E395" i="5"/>
  <c r="E394" i="5"/>
  <c r="E393" i="5"/>
  <c r="E392" i="5"/>
  <c r="E391" i="5"/>
  <c r="E390" i="5"/>
  <c r="E389" i="5"/>
  <c r="E388" i="5"/>
  <c r="E387" i="5"/>
  <c r="E383" i="5"/>
  <c r="E382" i="5"/>
  <c r="E381" i="5"/>
  <c r="E380" i="5"/>
  <c r="E379" i="5"/>
  <c r="E378" i="5"/>
  <c r="E377" i="5"/>
  <c r="E376" i="5"/>
  <c r="E375" i="5"/>
  <c r="E371" i="5"/>
  <c r="E370" i="5"/>
  <c r="E369" i="5"/>
  <c r="E368" i="5"/>
  <c r="E367" i="5"/>
  <c r="E366" i="5"/>
  <c r="E365" i="5"/>
  <c r="E364" i="5"/>
  <c r="E363" i="5"/>
  <c r="E359" i="5"/>
  <c r="E358" i="5"/>
  <c r="E357" i="5"/>
  <c r="E356" i="5"/>
  <c r="E355" i="5"/>
  <c r="E354" i="5"/>
  <c r="E352" i="5"/>
  <c r="E351" i="5"/>
  <c r="E347" i="5"/>
  <c r="E346" i="5"/>
  <c r="E345" i="5"/>
  <c r="E344" i="5"/>
  <c r="E343" i="5"/>
  <c r="E342" i="5"/>
  <c r="E340" i="5"/>
  <c r="E339" i="5"/>
  <c r="E335" i="5"/>
  <c r="E334" i="5"/>
  <c r="E333" i="5"/>
  <c r="E332" i="5"/>
  <c r="E331" i="5"/>
  <c r="E330" i="5"/>
  <c r="E329" i="5"/>
  <c r="E328" i="5"/>
  <c r="E327" i="5"/>
  <c r="E323" i="5"/>
  <c r="E322" i="5"/>
  <c r="E321" i="5"/>
  <c r="E320" i="5"/>
  <c r="E319" i="5"/>
  <c r="E318" i="5"/>
  <c r="E317" i="5"/>
  <c r="E316" i="5"/>
  <c r="E315" i="5"/>
  <c r="E311" i="5"/>
  <c r="E310" i="5"/>
  <c r="E309" i="5"/>
  <c r="E308" i="5"/>
  <c r="E307" i="5"/>
  <c r="E306" i="5"/>
  <c r="E305" i="5"/>
  <c r="E304" i="5"/>
  <c r="E303" i="5"/>
  <c r="E299" i="5"/>
  <c r="E298" i="5"/>
  <c r="E297" i="5"/>
  <c r="E296" i="5"/>
  <c r="E295" i="5"/>
  <c r="E294" i="5"/>
  <c r="E291" i="5"/>
  <c r="E287" i="5"/>
  <c r="E286" i="5"/>
  <c r="E285" i="5"/>
  <c r="E284" i="5"/>
  <c r="E283" i="5"/>
  <c r="E282" i="5"/>
  <c r="E281" i="5"/>
  <c r="E280" i="5"/>
  <c r="E279" i="5"/>
  <c r="E275" i="5"/>
  <c r="E274" i="5"/>
  <c r="E273" i="5"/>
  <c r="E272" i="5"/>
  <c r="E271" i="5"/>
  <c r="E270" i="5"/>
  <c r="E269" i="5"/>
  <c r="E268" i="5"/>
  <c r="E267" i="5"/>
  <c r="E263" i="5"/>
  <c r="E262" i="5"/>
  <c r="E261" i="5"/>
  <c r="E260" i="5"/>
  <c r="E259" i="5"/>
  <c r="E258" i="5"/>
  <c r="E257" i="5"/>
  <c r="E256" i="5"/>
  <c r="E255" i="5"/>
  <c r="E251" i="5"/>
  <c r="E250" i="5"/>
  <c r="E249" i="5"/>
  <c r="E248" i="5"/>
  <c r="E245" i="5"/>
  <c r="E244" i="5"/>
  <c r="E243" i="5"/>
  <c r="E239" i="5"/>
  <c r="E238" i="5"/>
  <c r="E237" i="5"/>
  <c r="E236" i="5"/>
  <c r="E235" i="5"/>
  <c r="E234" i="5"/>
  <c r="E233" i="5"/>
  <c r="E232" i="5"/>
  <c r="E231" i="5"/>
  <c r="E227" i="5"/>
  <c r="E226" i="5"/>
  <c r="E225" i="5"/>
  <c r="E224" i="5"/>
  <c r="E223" i="5"/>
  <c r="E222" i="5"/>
  <c r="E221" i="5"/>
  <c r="E220" i="5"/>
  <c r="E219" i="5"/>
  <c r="E215" i="5"/>
  <c r="E214" i="5"/>
  <c r="E213" i="5"/>
  <c r="E212" i="5"/>
  <c r="E211" i="5"/>
  <c r="E210" i="5"/>
  <c r="E208" i="5"/>
  <c r="E207" i="5"/>
  <c r="E203" i="5"/>
  <c r="E202" i="5"/>
  <c r="E201" i="5"/>
  <c r="E200" i="5"/>
  <c r="E199" i="5"/>
  <c r="E198" i="5"/>
  <c r="E196" i="5"/>
  <c r="E195" i="5"/>
  <c r="E191" i="5"/>
  <c r="E190" i="5"/>
  <c r="E189" i="5"/>
  <c r="E188" i="5"/>
  <c r="E187" i="5"/>
  <c r="E186" i="5"/>
  <c r="E185" i="5"/>
  <c r="E184" i="5"/>
  <c r="E183" i="5"/>
  <c r="E179" i="5"/>
  <c r="E178" i="5"/>
  <c r="E177" i="5"/>
  <c r="E176" i="5"/>
  <c r="E175" i="5"/>
  <c r="E174" i="5"/>
  <c r="E173" i="5"/>
  <c r="E172" i="5"/>
  <c r="E171" i="5"/>
  <c r="E167" i="5"/>
  <c r="E166" i="5"/>
  <c r="E165" i="5"/>
  <c r="E164" i="5"/>
  <c r="E163" i="5"/>
  <c r="E162" i="5"/>
  <c r="E160" i="5"/>
  <c r="E159" i="5"/>
  <c r="E155" i="5"/>
  <c r="E154" i="5"/>
  <c r="E153" i="5"/>
  <c r="E152" i="5"/>
  <c r="E151" i="5"/>
  <c r="E150" i="5"/>
  <c r="E148" i="5"/>
  <c r="E147" i="5"/>
  <c r="E143" i="5"/>
  <c r="E142" i="5"/>
  <c r="E141" i="5"/>
  <c r="E140" i="5"/>
  <c r="E139" i="5"/>
  <c r="E138" i="5"/>
  <c r="E131" i="5"/>
  <c r="E130" i="5"/>
  <c r="E129" i="5"/>
  <c r="E128" i="5"/>
  <c r="E127" i="5"/>
  <c r="E126" i="5"/>
  <c r="E124" i="5"/>
  <c r="E123" i="5"/>
  <c r="E119" i="5"/>
  <c r="E118" i="5"/>
  <c r="E117" i="5"/>
  <c r="E116" i="5"/>
  <c r="E115" i="5"/>
  <c r="E114" i="5"/>
  <c r="E112" i="5"/>
  <c r="E111" i="5"/>
  <c r="E107" i="5"/>
  <c r="E106" i="5"/>
  <c r="E105" i="5"/>
  <c r="E104" i="5"/>
  <c r="E103" i="5"/>
  <c r="E102" i="5"/>
  <c r="E100" i="5"/>
  <c r="E99" i="5"/>
  <c r="E95" i="5"/>
  <c r="E94" i="5"/>
  <c r="E93" i="5"/>
  <c r="E92" i="5"/>
  <c r="E91" i="5"/>
  <c r="E90" i="5"/>
  <c r="E83" i="5"/>
  <c r="E82" i="5"/>
  <c r="E81" i="5"/>
  <c r="E80" i="5"/>
  <c r="E79" i="5"/>
  <c r="E78" i="5"/>
  <c r="E77" i="5"/>
  <c r="E76" i="5"/>
  <c r="E75" i="5"/>
  <c r="E71" i="5"/>
  <c r="E70" i="5"/>
  <c r="E69" i="5"/>
  <c r="E68" i="5"/>
  <c r="E67" i="5"/>
  <c r="E66" i="5"/>
  <c r="E59" i="5"/>
  <c r="E58" i="5"/>
  <c r="E57" i="5"/>
  <c r="E56" i="5"/>
  <c r="E55" i="5"/>
  <c r="E54" i="5"/>
  <c r="E52" i="5"/>
  <c r="E51" i="5"/>
  <c r="E35" i="5"/>
  <c r="E34" i="5"/>
  <c r="E33" i="5"/>
  <c r="E32" i="5"/>
  <c r="E31" i="5"/>
  <c r="E23" i="5"/>
  <c r="E22" i="5"/>
  <c r="E21" i="5"/>
  <c r="E20" i="5"/>
  <c r="E19" i="5"/>
  <c r="E17" i="5"/>
  <c r="E16" i="5"/>
  <c r="E15" i="5"/>
  <c r="E11" i="5"/>
  <c r="E10" i="5"/>
  <c r="E9" i="5"/>
  <c r="E8" i="5"/>
  <c r="E7" i="5"/>
  <c r="E5" i="5"/>
  <c r="E4" i="5"/>
  <c r="E3" i="5"/>
  <c r="E347" i="4"/>
  <c r="E346" i="4"/>
  <c r="E345" i="4"/>
  <c r="E344" i="4"/>
  <c r="E343" i="4"/>
  <c r="E342" i="4"/>
  <c r="E341" i="4"/>
  <c r="E340" i="4"/>
  <c r="E339" i="4"/>
  <c r="E335" i="4"/>
  <c r="E334" i="4"/>
  <c r="E333" i="4"/>
  <c r="E332" i="4"/>
  <c r="E331" i="4"/>
  <c r="E330" i="4"/>
  <c r="E329" i="4"/>
  <c r="E328" i="4"/>
  <c r="E327" i="4"/>
  <c r="E323" i="4"/>
  <c r="E322" i="4"/>
  <c r="E321" i="4"/>
  <c r="E320" i="4"/>
  <c r="E319" i="4"/>
  <c r="E318" i="4"/>
  <c r="E317" i="4"/>
  <c r="E316" i="4"/>
  <c r="E315" i="4"/>
  <c r="E311" i="4"/>
  <c r="E310" i="4"/>
  <c r="E309" i="4"/>
  <c r="E308" i="4"/>
  <c r="E307" i="4"/>
  <c r="E306" i="4"/>
  <c r="E305" i="4"/>
  <c r="E304" i="4"/>
  <c r="E303" i="4"/>
  <c r="E299" i="4"/>
  <c r="E298" i="4"/>
  <c r="E297" i="4"/>
  <c r="E296" i="4"/>
  <c r="E295" i="4"/>
  <c r="E294" i="4"/>
  <c r="E293" i="4"/>
  <c r="E292" i="4"/>
  <c r="E291" i="4"/>
  <c r="E287" i="4"/>
  <c r="E286" i="4"/>
  <c r="E285" i="4"/>
  <c r="E284" i="4"/>
  <c r="E283" i="4"/>
  <c r="E282" i="4"/>
  <c r="E281" i="4"/>
  <c r="E280" i="4"/>
  <c r="E279" i="4"/>
  <c r="E275" i="4"/>
  <c r="E274" i="4"/>
  <c r="E273" i="4"/>
  <c r="E272" i="4"/>
  <c r="E271" i="4"/>
  <c r="E270" i="4"/>
  <c r="E269" i="4"/>
  <c r="E268" i="4"/>
  <c r="E267" i="4"/>
  <c r="E263" i="4"/>
  <c r="E262" i="4"/>
  <c r="E261" i="4"/>
  <c r="E260" i="4"/>
  <c r="E259" i="4"/>
  <c r="E258" i="4"/>
  <c r="E257" i="4"/>
  <c r="E256" i="4"/>
  <c r="E255" i="4"/>
  <c r="E251" i="4"/>
  <c r="E250" i="4"/>
  <c r="E249" i="4"/>
  <c r="E248" i="4"/>
  <c r="E247" i="4"/>
  <c r="E246" i="4"/>
  <c r="E245" i="4"/>
  <c r="E244" i="4"/>
  <c r="E243" i="4"/>
  <c r="E239" i="4"/>
  <c r="E238" i="4"/>
  <c r="E237" i="4"/>
  <c r="E236" i="4"/>
  <c r="E235" i="4"/>
  <c r="E234" i="4"/>
  <c r="E233" i="4"/>
  <c r="E232" i="4"/>
  <c r="E231" i="4"/>
  <c r="E227" i="4"/>
  <c r="E226" i="4"/>
  <c r="E225" i="4"/>
  <c r="E224" i="4"/>
  <c r="E223" i="4"/>
  <c r="E222" i="4"/>
  <c r="E221" i="4"/>
  <c r="E220" i="4"/>
  <c r="E219" i="4"/>
  <c r="E215" i="4"/>
  <c r="E214" i="4"/>
  <c r="E213" i="4"/>
  <c r="E212" i="4"/>
  <c r="E211" i="4"/>
  <c r="E210" i="4"/>
  <c r="E209" i="4"/>
  <c r="E208" i="4"/>
  <c r="E207" i="4"/>
  <c r="E203" i="4"/>
  <c r="E202" i="4"/>
  <c r="E201" i="4"/>
  <c r="E200" i="4"/>
  <c r="E199" i="4"/>
  <c r="E198" i="4"/>
  <c r="E197" i="4"/>
  <c r="E196" i="4"/>
  <c r="E195" i="4"/>
  <c r="E191" i="4"/>
  <c r="E190" i="4"/>
  <c r="E189" i="4"/>
  <c r="E188" i="4"/>
  <c r="E187" i="4"/>
  <c r="E186" i="4"/>
  <c r="E185" i="4"/>
  <c r="E184" i="4"/>
  <c r="E183" i="4"/>
  <c r="E179" i="4"/>
  <c r="E178" i="4"/>
  <c r="E177" i="4"/>
  <c r="E176" i="4"/>
  <c r="E175" i="4"/>
  <c r="E174" i="4"/>
  <c r="E173" i="4"/>
  <c r="E172" i="4"/>
  <c r="E171" i="4"/>
  <c r="E167" i="4"/>
  <c r="E166" i="4"/>
  <c r="E165" i="4"/>
  <c r="E164" i="4"/>
  <c r="E163" i="4"/>
  <c r="E162" i="4"/>
  <c r="E161" i="4"/>
  <c r="E160" i="4"/>
  <c r="E159" i="4"/>
  <c r="E155" i="4"/>
  <c r="E154" i="4"/>
  <c r="E153" i="4"/>
  <c r="E152" i="4"/>
  <c r="E151" i="4"/>
  <c r="E150" i="4"/>
  <c r="E149" i="4"/>
  <c r="E148" i="4"/>
  <c r="E147" i="4"/>
  <c r="E143" i="4"/>
  <c r="E142" i="4"/>
  <c r="E141" i="4"/>
  <c r="E140" i="4"/>
  <c r="E139" i="4"/>
  <c r="E138" i="4"/>
  <c r="E137" i="4"/>
  <c r="E136" i="4"/>
  <c r="E135" i="4"/>
  <c r="E131" i="4"/>
  <c r="E130" i="4"/>
  <c r="E129" i="4"/>
  <c r="E128" i="4"/>
  <c r="E127" i="4"/>
  <c r="E126" i="4"/>
  <c r="E125" i="4"/>
  <c r="E124" i="4"/>
  <c r="E123" i="4"/>
  <c r="E119" i="4"/>
  <c r="E118" i="4"/>
  <c r="E117" i="4"/>
  <c r="E116" i="4"/>
  <c r="E115" i="4"/>
  <c r="E114" i="4"/>
  <c r="E113" i="4"/>
  <c r="E112" i="4"/>
  <c r="E111" i="4"/>
  <c r="E107" i="4"/>
  <c r="E106" i="4"/>
  <c r="E105" i="4"/>
  <c r="E104" i="4"/>
  <c r="E103" i="4"/>
  <c r="E102" i="4"/>
  <c r="E101" i="4"/>
  <c r="E100" i="4"/>
  <c r="E99" i="4"/>
  <c r="E95" i="4"/>
  <c r="E94" i="4"/>
  <c r="E93" i="4"/>
  <c r="E92" i="4"/>
  <c r="E91" i="4"/>
  <c r="E90" i="4"/>
  <c r="E89" i="4"/>
  <c r="E88" i="4"/>
  <c r="E87" i="4"/>
  <c r="E83" i="4"/>
  <c r="E82" i="4"/>
  <c r="E81" i="4"/>
  <c r="E80" i="4"/>
  <c r="E79" i="4"/>
  <c r="E78" i="4"/>
  <c r="E77" i="4"/>
  <c r="E76" i="4"/>
  <c r="E75" i="4"/>
  <c r="E71" i="4"/>
  <c r="E70" i="4"/>
  <c r="E69" i="4"/>
  <c r="E68" i="4"/>
  <c r="E67" i="4"/>
  <c r="E66" i="4"/>
  <c r="E65" i="4"/>
  <c r="E63" i="4"/>
  <c r="E59" i="4"/>
  <c r="E58" i="4"/>
  <c r="E57" i="4"/>
  <c r="E56" i="4"/>
  <c r="E55" i="4"/>
  <c r="E54" i="4"/>
  <c r="E53" i="4"/>
  <c r="E52" i="4"/>
  <c r="E51" i="4"/>
  <c r="E47" i="4"/>
  <c r="E46" i="4"/>
  <c r="E45" i="4"/>
  <c r="E44" i="4"/>
  <c r="E43" i="4"/>
  <c r="E41" i="4"/>
  <c r="E40" i="4"/>
  <c r="E39" i="4"/>
  <c r="E35" i="4"/>
  <c r="E34" i="4"/>
  <c r="E33" i="4"/>
  <c r="E32" i="4"/>
  <c r="E30" i="4"/>
  <c r="E29" i="4"/>
  <c r="E28" i="4"/>
  <c r="E27" i="4"/>
  <c r="E23" i="4"/>
  <c r="E22" i="4"/>
  <c r="E21" i="4"/>
  <c r="E20" i="4"/>
  <c r="E19" i="4"/>
  <c r="E18" i="4"/>
  <c r="E16" i="4"/>
  <c r="E15" i="4"/>
  <c r="E11" i="4"/>
  <c r="E10" i="4"/>
  <c r="E9" i="4"/>
  <c r="E8" i="4"/>
  <c r="E7" i="4"/>
  <c r="E6" i="4"/>
  <c r="E4" i="4"/>
  <c r="E3" i="4"/>
  <c r="E209" i="3"/>
  <c r="E208" i="3"/>
  <c r="E207" i="3"/>
  <c r="E197" i="3"/>
  <c r="E196" i="3"/>
  <c r="E195" i="3"/>
  <c r="E185" i="3"/>
  <c r="E184" i="3"/>
  <c r="E183" i="3"/>
  <c r="E173" i="3"/>
  <c r="E172" i="3"/>
  <c r="E171" i="3"/>
  <c r="E161" i="3"/>
  <c r="E160" i="3"/>
  <c r="E159" i="3"/>
  <c r="E149" i="3"/>
  <c r="E148" i="3"/>
  <c r="E147" i="3"/>
  <c r="F145" i="3" s="1"/>
  <c r="E135" i="3"/>
  <c r="F133" i="3" s="1"/>
  <c r="E123" i="3"/>
  <c r="F121" i="3" s="1"/>
  <c r="E111" i="3"/>
  <c r="F109" i="3" s="1"/>
  <c r="E99" i="3"/>
  <c r="F97" i="3" s="1"/>
  <c r="E87" i="3"/>
  <c r="F85" i="3" s="1"/>
  <c r="E76" i="3"/>
  <c r="E75" i="3"/>
  <c r="E69" i="3"/>
  <c r="E68" i="3"/>
  <c r="E67" i="3"/>
  <c r="E66" i="3"/>
  <c r="E65" i="3"/>
  <c r="E64" i="3"/>
  <c r="E63" i="3"/>
  <c r="E51" i="3"/>
  <c r="E45" i="3"/>
  <c r="E44" i="3"/>
  <c r="E43" i="3"/>
  <c r="E42" i="3"/>
  <c r="E41" i="3"/>
  <c r="E40" i="3"/>
  <c r="E39" i="3"/>
  <c r="E31" i="3"/>
  <c r="E30" i="3"/>
  <c r="E29" i="3"/>
  <c r="E28" i="3"/>
  <c r="E27" i="3"/>
  <c r="E16" i="3"/>
  <c r="E15" i="3"/>
  <c r="E4" i="3"/>
  <c r="E3" i="3"/>
  <c r="A99" i="2"/>
  <c r="A98" i="2"/>
  <c r="A97" i="2"/>
  <c r="A96" i="2"/>
  <c r="A95" i="2"/>
  <c r="B91" i="2"/>
  <c r="B90" i="2"/>
  <c r="B89" i="2"/>
  <c r="B88" i="2"/>
  <c r="B87" i="2"/>
  <c r="B86" i="2"/>
  <c r="B85" i="2"/>
  <c r="B84" i="2"/>
  <c r="B83" i="2"/>
  <c r="B82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K51" i="2"/>
  <c r="O4" i="2" s="1"/>
  <c r="J47" i="2"/>
  <c r="O16" i="2"/>
  <c r="I122" i="8" l="1"/>
  <c r="J122" i="8" s="1"/>
  <c r="I96" i="14"/>
  <c r="J96" i="14" s="1"/>
  <c r="K95" i="14" s="1"/>
  <c r="I124" i="8"/>
  <c r="J124" i="8" s="1"/>
  <c r="I98" i="14"/>
  <c r="J98" i="14" s="1"/>
  <c r="I126" i="8"/>
  <c r="J126" i="8" s="1"/>
  <c r="I100" i="14"/>
  <c r="J100" i="14" s="1"/>
  <c r="I123" i="8"/>
  <c r="J123" i="8" s="1"/>
  <c r="I97" i="14"/>
  <c r="J97" i="14" s="1"/>
  <c r="I125" i="8"/>
  <c r="J125" i="8" s="1"/>
  <c r="I99" i="14"/>
  <c r="J99" i="14" s="1"/>
  <c r="F649" i="5"/>
  <c r="F301" i="5"/>
  <c r="I88" i="8" s="1"/>
  <c r="J88" i="8" s="1"/>
  <c r="F373" i="5"/>
  <c r="I94" i="8" s="1"/>
  <c r="J94" i="8" s="1"/>
  <c r="F13" i="3"/>
  <c r="F229" i="5"/>
  <c r="I98" i="2"/>
  <c r="J98" i="2" s="1"/>
  <c r="F49" i="4"/>
  <c r="I95" i="2"/>
  <c r="J95" i="2" s="1"/>
  <c r="I99" i="2"/>
  <c r="J99" i="2" s="1"/>
  <c r="F661" i="5"/>
  <c r="F709" i="5"/>
  <c r="I96" i="2"/>
  <c r="J96" i="2" s="1"/>
  <c r="I97" i="2"/>
  <c r="J97" i="2" s="1"/>
  <c r="F385" i="5"/>
  <c r="I95" i="8" s="1"/>
  <c r="J95" i="8" s="1"/>
  <c r="F217" i="5"/>
  <c r="F361" i="5"/>
  <c r="I93" i="8" s="1"/>
  <c r="J93" i="8" s="1"/>
  <c r="F625" i="5"/>
  <c r="F673" i="5"/>
  <c r="F637" i="5"/>
  <c r="E33" i="3"/>
  <c r="F33" i="3" s="1"/>
  <c r="F25" i="3" s="1"/>
  <c r="F193" i="3"/>
  <c r="F181" i="5"/>
  <c r="I80" i="8" s="1"/>
  <c r="J80" i="8" s="1"/>
  <c r="F325" i="5"/>
  <c r="I90" i="8" s="1"/>
  <c r="J90" i="8" s="1"/>
  <c r="F613" i="5"/>
  <c r="F73" i="3"/>
  <c r="F181" i="3"/>
  <c r="F97" i="4"/>
  <c r="F145" i="4"/>
  <c r="F193" i="4"/>
  <c r="F241" i="4"/>
  <c r="F289" i="4"/>
  <c r="F337" i="4"/>
  <c r="F169" i="5"/>
  <c r="I79" i="8" s="1"/>
  <c r="J79" i="8" s="1"/>
  <c r="F313" i="5"/>
  <c r="I89" i="8" s="1"/>
  <c r="J89" i="8" s="1"/>
  <c r="F421" i="5"/>
  <c r="I98" i="8" s="1"/>
  <c r="J98" i="8" s="1"/>
  <c r="F697" i="5"/>
  <c r="F685" i="5"/>
  <c r="E33" i="2"/>
  <c r="E27" i="2"/>
  <c r="E28" i="2"/>
  <c r="E31" i="2"/>
  <c r="E34" i="2"/>
  <c r="F109" i="4"/>
  <c r="F157" i="4"/>
  <c r="F205" i="4"/>
  <c r="F253" i="4"/>
  <c r="F301" i="4"/>
  <c r="F73" i="5"/>
  <c r="I71" i="8" s="1"/>
  <c r="J71" i="8" s="1"/>
  <c r="F253" i="5"/>
  <c r="I84" i="8" s="1"/>
  <c r="J84" i="8" s="1"/>
  <c r="F433" i="5"/>
  <c r="I99" i="8" s="1"/>
  <c r="J99" i="8" s="1"/>
  <c r="I28" i="2"/>
  <c r="E32" i="2"/>
  <c r="E46" i="3"/>
  <c r="F46" i="3" s="1"/>
  <c r="F37" i="3" s="1"/>
  <c r="E70" i="3"/>
  <c r="F70" i="3" s="1"/>
  <c r="F61" i="3" s="1"/>
  <c r="F169" i="3"/>
  <c r="F73" i="4"/>
  <c r="F121" i="4"/>
  <c r="F169" i="4"/>
  <c r="F217" i="4"/>
  <c r="F265" i="4"/>
  <c r="F313" i="4"/>
  <c r="F265" i="5"/>
  <c r="I85" i="8" s="1"/>
  <c r="J85" i="8" s="1"/>
  <c r="E29" i="2"/>
  <c r="F1" i="3"/>
  <c r="F157" i="3"/>
  <c r="F205" i="3"/>
  <c r="F85" i="4"/>
  <c r="F133" i="4"/>
  <c r="F181" i="4"/>
  <c r="F229" i="4"/>
  <c r="F277" i="4"/>
  <c r="F325" i="4"/>
  <c r="F277" i="5"/>
  <c r="I86" i="8" s="1"/>
  <c r="J86" i="8" s="1"/>
  <c r="K94" i="2" l="1"/>
  <c r="O7" i="2" s="1"/>
  <c r="K121" i="8"/>
  <c r="O7" i="8" s="1"/>
  <c r="I87" i="2"/>
  <c r="J87" i="2" s="1"/>
  <c r="I85" i="2"/>
  <c r="J85" i="2" s="1"/>
  <c r="D43" i="13"/>
  <c r="E43" i="13" s="1"/>
  <c r="F37" i="13" s="1"/>
  <c r="I41" i="14"/>
  <c r="J41" i="14" s="1"/>
  <c r="D76" i="13"/>
  <c r="E76" i="13" s="1"/>
  <c r="F73" i="13" s="1"/>
  <c r="D54" i="13"/>
  <c r="E54" i="13" s="1"/>
  <c r="F49" i="13" s="1"/>
  <c r="I42" i="14"/>
  <c r="J42" i="14" s="1"/>
  <c r="I31" i="2"/>
  <c r="J31" i="2" s="1"/>
  <c r="I33" i="14"/>
  <c r="J33" i="14" s="1"/>
  <c r="I29" i="14"/>
  <c r="J29" i="14" s="1"/>
  <c r="I31" i="14"/>
  <c r="J31" i="14" s="1"/>
  <c r="I27" i="14"/>
  <c r="J27" i="14" s="1"/>
  <c r="I84" i="2"/>
  <c r="J84" i="2" s="1"/>
  <c r="I77" i="2"/>
  <c r="J77" i="2" s="1"/>
  <c r="I32" i="2"/>
  <c r="J32" i="2" s="1"/>
  <c r="I34" i="14"/>
  <c r="J34" i="14" s="1"/>
  <c r="I30" i="14"/>
  <c r="J30" i="14" s="1"/>
  <c r="I32" i="14"/>
  <c r="J32" i="14" s="1"/>
  <c r="I28" i="14"/>
  <c r="J28" i="14" s="1"/>
  <c r="I89" i="2"/>
  <c r="J89" i="2" s="1"/>
  <c r="I74" i="2"/>
  <c r="J74" i="2" s="1"/>
  <c r="I46" i="2"/>
  <c r="J46" i="2" s="1"/>
  <c r="I45" i="14"/>
  <c r="J45" i="14" s="1"/>
  <c r="I46" i="14"/>
  <c r="J46" i="14" s="1"/>
  <c r="I88" i="2"/>
  <c r="J88" i="2" s="1"/>
  <c r="J81" i="2"/>
  <c r="I80" i="2"/>
  <c r="J80" i="2" s="1"/>
  <c r="I79" i="2"/>
  <c r="J79" i="2" s="1"/>
  <c r="I76" i="2"/>
  <c r="J76" i="2" s="1"/>
  <c r="I75" i="2"/>
  <c r="J75" i="2" s="1"/>
  <c r="I82" i="2"/>
  <c r="J82" i="2" s="1"/>
  <c r="I73" i="2"/>
  <c r="J73" i="2" s="1"/>
  <c r="O7" i="14"/>
  <c r="I90" i="2"/>
  <c r="J90" i="2" s="1"/>
  <c r="I69" i="2"/>
  <c r="J69" i="2" s="1"/>
  <c r="I86" i="2"/>
  <c r="J86" i="2" s="1"/>
  <c r="I83" i="2"/>
  <c r="J83" i="2" s="1"/>
  <c r="I72" i="2"/>
  <c r="J72" i="2" s="1"/>
  <c r="I71" i="2"/>
  <c r="J71" i="2" s="1"/>
  <c r="I78" i="2"/>
  <c r="J78" i="2" s="1"/>
  <c r="I91" i="2"/>
  <c r="J91" i="2" s="1"/>
  <c r="I40" i="2"/>
  <c r="J40" i="2" s="1"/>
  <c r="I40" i="14"/>
  <c r="J40" i="14" s="1"/>
  <c r="I39" i="14"/>
  <c r="J39" i="14" s="1"/>
  <c r="D558" i="5"/>
  <c r="E558" i="5" s="1"/>
  <c r="D548" i="5"/>
  <c r="E548" i="5" s="1"/>
  <c r="D514" i="5"/>
  <c r="E514" i="5" s="1"/>
  <c r="D458" i="5"/>
  <c r="E458" i="5" s="1"/>
  <c r="F454" i="5" s="1"/>
  <c r="I105" i="8" s="1"/>
  <c r="J105" i="8" s="1"/>
  <c r="I33" i="2"/>
  <c r="D65" i="5"/>
  <c r="E65" i="5" s="1"/>
  <c r="F61" i="5" s="1"/>
  <c r="I70" i="8" s="1"/>
  <c r="J70" i="8" s="1"/>
  <c r="D89" i="5"/>
  <c r="E89" i="5" s="1"/>
  <c r="F85" i="5" s="1"/>
  <c r="I72" i="8" s="1"/>
  <c r="J72" i="8" s="1"/>
  <c r="D137" i="5"/>
  <c r="E137" i="5" s="1"/>
  <c r="F133" i="5" s="1"/>
  <c r="I76" i="8" s="1"/>
  <c r="J76" i="8" s="1"/>
  <c r="D42" i="5"/>
  <c r="E42" i="5" s="1"/>
  <c r="F37" i="5" s="1"/>
  <c r="I68" i="8" s="1"/>
  <c r="J68" i="8" s="1"/>
  <c r="I34" i="2"/>
  <c r="J34" i="2" s="1"/>
  <c r="I45" i="2"/>
  <c r="J45" i="2" s="1"/>
  <c r="I47" i="8"/>
  <c r="J47" i="8" s="1"/>
  <c r="F554" i="5"/>
  <c r="I111" i="8" s="1"/>
  <c r="J111" i="8" s="1"/>
  <c r="D30" i="5"/>
  <c r="E30" i="5" s="1"/>
  <c r="D18" i="5"/>
  <c r="E18" i="5" s="1"/>
  <c r="F13" i="5" s="1"/>
  <c r="I66" i="8" s="1"/>
  <c r="J66" i="8" s="1"/>
  <c r="D53" i="5"/>
  <c r="E53" i="5" s="1"/>
  <c r="F49" i="5" s="1"/>
  <c r="I69" i="8" s="1"/>
  <c r="J69" i="8" s="1"/>
  <c r="D585" i="5"/>
  <c r="E585" i="5" s="1"/>
  <c r="D571" i="5"/>
  <c r="E571" i="5" s="1"/>
  <c r="F566" i="5" s="1"/>
  <c r="I112" i="8" s="1"/>
  <c r="J112" i="8" s="1"/>
  <c r="D113" i="5"/>
  <c r="E113" i="5" s="1"/>
  <c r="F109" i="5" s="1"/>
  <c r="I74" i="8" s="1"/>
  <c r="J74" i="8" s="1"/>
  <c r="D478" i="5"/>
  <c r="E478" i="5" s="1"/>
  <c r="D608" i="5"/>
  <c r="E608" i="5" s="1"/>
  <c r="F601" i="5" s="1"/>
  <c r="I115" i="8" s="1"/>
  <c r="J115" i="8" s="1"/>
  <c r="D524" i="5"/>
  <c r="E524" i="5" s="1"/>
  <c r="F520" i="5" s="1"/>
  <c r="I108" i="8" s="1"/>
  <c r="J108" i="8" s="1"/>
  <c r="D502" i="5"/>
  <c r="E502" i="5" s="1"/>
  <c r="F497" i="5" s="1"/>
  <c r="D490" i="5"/>
  <c r="E490" i="5" s="1"/>
  <c r="F485" i="5" s="1"/>
  <c r="D404" i="5"/>
  <c r="E404" i="5" s="1"/>
  <c r="F397" i="5" s="1"/>
  <c r="I96" i="8" s="1"/>
  <c r="J96" i="8" s="1"/>
  <c r="F543" i="5"/>
  <c r="I110" i="8" s="1"/>
  <c r="J110" i="8" s="1"/>
  <c r="F509" i="5"/>
  <c r="I107" i="8" s="1"/>
  <c r="J107" i="8" s="1"/>
  <c r="I41" i="2"/>
  <c r="J41" i="2" s="1"/>
  <c r="F461" i="5"/>
  <c r="I106" i="8" s="1"/>
  <c r="J106" i="8" s="1"/>
  <c r="I42" i="2"/>
  <c r="J42" i="2" s="1"/>
  <c r="D5" i="4"/>
  <c r="E5" i="4" s="1"/>
  <c r="F1" i="4" s="1"/>
  <c r="D149" i="5"/>
  <c r="E149" i="5" s="1"/>
  <c r="F145" i="5" s="1"/>
  <c r="I77" i="8" s="1"/>
  <c r="J77" i="8" s="1"/>
  <c r="D101" i="5"/>
  <c r="E101" i="5" s="1"/>
  <c r="F97" i="5" s="1"/>
  <c r="I73" i="8" s="1"/>
  <c r="J73" i="8" s="1"/>
  <c r="D125" i="5"/>
  <c r="E125" i="5" s="1"/>
  <c r="F121" i="5" s="1"/>
  <c r="I75" i="8" s="1"/>
  <c r="J75" i="8" s="1"/>
  <c r="D246" i="5"/>
  <c r="E246" i="5" s="1"/>
  <c r="F241" i="5" s="1"/>
  <c r="I83" i="8" s="1"/>
  <c r="J83" i="8" s="1"/>
  <c r="D161" i="5"/>
  <c r="E161" i="5" s="1"/>
  <c r="F157" i="5" s="1"/>
  <c r="I78" i="8" s="1"/>
  <c r="J78" i="8" s="1"/>
  <c r="D209" i="5"/>
  <c r="E209" i="5" s="1"/>
  <c r="F205" i="5" s="1"/>
  <c r="I82" i="8" s="1"/>
  <c r="J82" i="8" s="1"/>
  <c r="D596" i="5"/>
  <c r="E596" i="5" s="1"/>
  <c r="F590" i="5" s="1"/>
  <c r="I114" i="8" s="1"/>
  <c r="J114" i="8" s="1"/>
  <c r="D341" i="5"/>
  <c r="E341" i="5" s="1"/>
  <c r="F337" i="5" s="1"/>
  <c r="I91" i="8" s="1"/>
  <c r="J91" i="8" s="1"/>
  <c r="D536" i="5"/>
  <c r="E536" i="5" s="1"/>
  <c r="F531" i="5" s="1"/>
  <c r="I109" i="8" s="1"/>
  <c r="J109" i="8" s="1"/>
  <c r="D52" i="3"/>
  <c r="E52" i="3" s="1"/>
  <c r="F49" i="3" s="1"/>
  <c r="D353" i="5"/>
  <c r="E353" i="5" s="1"/>
  <c r="F349" i="5" s="1"/>
  <c r="I92" i="8" s="1"/>
  <c r="J92" i="8" s="1"/>
  <c r="D293" i="5"/>
  <c r="E293" i="5" s="1"/>
  <c r="F289" i="5" s="1"/>
  <c r="I87" i="8" s="1"/>
  <c r="J87" i="8" s="1"/>
  <c r="D6" i="5"/>
  <c r="E6" i="5" s="1"/>
  <c r="F1" i="5" s="1"/>
  <c r="F445" i="5"/>
  <c r="I104" i="8" s="1"/>
  <c r="J104" i="8" s="1"/>
  <c r="I30" i="2"/>
  <c r="J30" i="2" s="1"/>
  <c r="I27" i="2"/>
  <c r="J27" i="2" s="1"/>
  <c r="I29" i="2"/>
  <c r="I39" i="2"/>
  <c r="J39" i="2" s="1"/>
  <c r="I31" i="8"/>
  <c r="J31" i="8" s="1"/>
  <c r="I33" i="8"/>
  <c r="J33" i="8" s="1"/>
  <c r="I27" i="8"/>
  <c r="J27" i="8" s="1"/>
  <c r="I29" i="8"/>
  <c r="J29" i="8" s="1"/>
  <c r="I41" i="8"/>
  <c r="J41" i="8" s="1"/>
  <c r="I42" i="8"/>
  <c r="J42" i="8" s="1"/>
  <c r="I39" i="8"/>
  <c r="J39" i="8" s="1"/>
  <c r="I40" i="8"/>
  <c r="J40" i="8" s="1"/>
  <c r="I46" i="8"/>
  <c r="J46" i="8" s="1"/>
  <c r="I45" i="8"/>
  <c r="J45" i="8" s="1"/>
  <c r="I34" i="8"/>
  <c r="J34" i="8" s="1"/>
  <c r="I30" i="8"/>
  <c r="J30" i="8" s="1"/>
  <c r="I32" i="8"/>
  <c r="J32" i="8" s="1"/>
  <c r="I28" i="8"/>
  <c r="J28" i="8" s="1"/>
  <c r="J28" i="2"/>
  <c r="J33" i="2"/>
  <c r="J29" i="2"/>
  <c r="D197" i="5"/>
  <c r="E197" i="5" s="1"/>
  <c r="F193" i="5" s="1"/>
  <c r="I81" i="8" s="1"/>
  <c r="J81" i="8" s="1"/>
  <c r="D64" i="4"/>
  <c r="E64" i="4" s="1"/>
  <c r="F61" i="4" s="1"/>
  <c r="D31" i="4"/>
  <c r="E31" i="4" s="1"/>
  <c r="F25" i="4" s="1"/>
  <c r="D17" i="4"/>
  <c r="E17" i="4" s="1"/>
  <c r="F13" i="4" s="1"/>
  <c r="D42" i="4"/>
  <c r="E42" i="4" s="1"/>
  <c r="F37" i="4" s="1"/>
  <c r="I65" i="2" l="1"/>
  <c r="J65" i="2" s="1"/>
  <c r="I68" i="2"/>
  <c r="J68" i="2" s="1"/>
  <c r="I66" i="2"/>
  <c r="J66" i="2" s="1"/>
  <c r="K26" i="14"/>
  <c r="O2" i="14" s="1"/>
  <c r="I67" i="2"/>
  <c r="J67" i="2" s="1"/>
  <c r="I70" i="2"/>
  <c r="J70" i="2" s="1"/>
  <c r="I43" i="8"/>
  <c r="J43" i="8" s="1"/>
  <c r="I43" i="14"/>
  <c r="J43" i="14" s="1"/>
  <c r="I44" i="14"/>
  <c r="J44" i="14" s="1"/>
  <c r="F578" i="5"/>
  <c r="I113" i="8" s="1"/>
  <c r="J113" i="8" s="1"/>
  <c r="K103" i="8" s="1"/>
  <c r="O6" i="8" s="1"/>
  <c r="I65" i="8"/>
  <c r="J65" i="8" s="1"/>
  <c r="F25" i="5"/>
  <c r="I67" i="8" s="1"/>
  <c r="J67" i="8" s="1"/>
  <c r="I44" i="8"/>
  <c r="J44" i="8" s="1"/>
  <c r="I44" i="2"/>
  <c r="J44" i="2" s="1"/>
  <c r="D416" i="5"/>
  <c r="E416" i="5" s="1"/>
  <c r="F409" i="5" s="1"/>
  <c r="I97" i="8" s="1"/>
  <c r="J97" i="8" s="1"/>
  <c r="I43" i="2"/>
  <c r="J43" i="2" s="1"/>
  <c r="K26" i="8"/>
  <c r="O2" i="8" s="1"/>
  <c r="K26" i="2"/>
  <c r="O2" i="2" s="1"/>
  <c r="K38" i="8" l="1"/>
  <c r="O3" i="8" s="1"/>
  <c r="K38" i="14"/>
  <c r="O3" i="14" s="1"/>
  <c r="K65" i="2"/>
  <c r="O5" i="2" s="1"/>
  <c r="K65" i="8"/>
  <c r="O5" i="8" s="1"/>
  <c r="K38" i="2"/>
  <c r="O3" i="2" s="1"/>
  <c r="O1" i="2" s="1"/>
  <c r="O8" i="2" s="1"/>
  <c r="O1" i="8" l="1"/>
  <c r="O9" i="8" s="1"/>
  <c r="O1" i="14"/>
  <c r="O9" i="14" s="1"/>
  <c r="O9" i="2"/>
  <c r="O10" i="2" s="1"/>
  <c r="O12" i="2" s="1"/>
  <c r="O8" i="14" l="1"/>
  <c r="O10" i="14" s="1"/>
  <c r="O11" i="14" s="1"/>
  <c r="O8" i="8"/>
  <c r="O10" i="8" s="1"/>
  <c r="O12" i="8" s="1"/>
  <c r="O11" i="2"/>
  <c r="O13" i="2" s="1"/>
  <c r="O11" i="8" l="1"/>
  <c r="O13" i="8" s="1"/>
  <c r="O15" i="8" s="1"/>
  <c r="O17" i="8" s="1"/>
  <c r="O12" i="14"/>
  <c r="O13" i="14" s="1"/>
  <c r="O19" i="2"/>
  <c r="O15" i="2"/>
  <c r="O17" i="2" s="1"/>
  <c r="O24" i="2" s="1"/>
  <c r="O15" i="14" l="1"/>
  <c r="O17" i="14" s="1"/>
  <c r="N25" i="14" s="1"/>
  <c r="O23" i="2"/>
  <c r="O22" i="2"/>
  <c r="O21" i="2"/>
  <c r="O20" i="2"/>
  <c r="N2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Win11</author>
  </authors>
  <commentList>
    <comment ref="C28" authorId="0" shapeId="0" xr:uid="{F3D0692F-275F-4601-AFFD-DB7A8970BB88}">
      <text>
        <r>
          <rPr>
            <b/>
            <sz val="9"/>
            <color indexed="81"/>
            <rFont val="Tahoma"/>
            <charset val="1"/>
          </rPr>
          <t>Selalu diisi 1</t>
        </r>
      </text>
    </comment>
    <comment ref="C29" authorId="0" shapeId="0" xr:uid="{4E6D158A-5EF1-4ED4-AA2D-88FF41A7E6BB}">
      <text>
        <r>
          <rPr>
            <b/>
            <sz val="9"/>
            <color indexed="81"/>
            <rFont val="Tahoma"/>
            <charset val="1"/>
          </rPr>
          <t>Estimasi total hari pengerjaan</t>
        </r>
      </text>
    </comment>
    <comment ref="C34" authorId="0" shapeId="0" xr:uid="{F608AB48-41B3-476A-AA8F-C20C529FB831}">
      <text>
        <r>
          <rPr>
            <b/>
            <sz val="9"/>
            <color indexed="81"/>
            <rFont val="Tahoma"/>
            <charset val="1"/>
          </rPr>
          <t>Monitoring setiap 6 bulan</t>
        </r>
      </text>
    </comment>
    <comment ref="C40" authorId="0" shapeId="0" xr:uid="{42C3B7A3-E502-4AEE-A554-B10F79EA964C}">
      <text>
        <r>
          <rPr>
            <b/>
            <sz val="9"/>
            <color indexed="81"/>
            <rFont val="Tahoma"/>
            <charset val="1"/>
          </rPr>
          <t>Selalu diisi 1</t>
        </r>
      </text>
    </comment>
    <comment ref="C41" authorId="0" shapeId="0" xr:uid="{900794CC-CB22-448B-A607-A8877DFCBFDF}">
      <text>
        <r>
          <rPr>
            <b/>
            <sz val="9"/>
            <color indexed="81"/>
            <rFont val="Tahoma"/>
            <charset val="1"/>
          </rPr>
          <t>Estimasi total hari pengerjaan</t>
        </r>
      </text>
    </comment>
    <comment ref="C46" authorId="0" shapeId="0" xr:uid="{B8DAD659-BC60-45E2-BABB-2D33B8305248}">
      <text>
        <r>
          <rPr>
            <b/>
            <sz val="9"/>
            <color indexed="81"/>
            <rFont val="Tahoma"/>
            <charset val="1"/>
          </rPr>
          <t>Monitoring setiap 6 bulan</t>
        </r>
      </text>
    </comment>
    <comment ref="E46" authorId="0" shapeId="0" xr:uid="{79B02ABD-D37C-4319-8C06-2DF9E5280BDC}">
      <text>
        <r>
          <rPr>
            <b/>
            <sz val="9"/>
            <color indexed="81"/>
            <rFont val="Tahoma"/>
            <charset val="1"/>
          </rPr>
          <t>Selalu 1</t>
        </r>
      </text>
    </comment>
    <comment ref="G46" authorId="0" shapeId="0" xr:uid="{39AC98BB-4EA7-4084-93FA-4EBAA0D7118B}">
      <text>
        <r>
          <rPr>
            <b/>
            <sz val="9"/>
            <color indexed="81"/>
            <rFont val="Tahoma"/>
            <charset val="1"/>
          </rPr>
          <t>Selalu 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Win11</author>
  </authors>
  <commentList>
    <comment ref="C20" authorId="0" shapeId="0" xr:uid="{5F9BDCBB-0904-46DD-BB04-AE1320F36D10}">
      <text>
        <r>
          <rPr>
            <b/>
            <sz val="9"/>
            <color indexed="81"/>
            <rFont val="Tahoma"/>
            <charset val="1"/>
          </rPr>
          <t>Jarak 1x</t>
        </r>
      </text>
    </comment>
    <comment ref="C22" authorId="0" shapeId="0" xr:uid="{B24012CF-2A41-4FA1-BB89-006F1094BAD4}">
      <text>
        <r>
          <rPr>
            <b/>
            <sz val="9"/>
            <color indexed="81"/>
            <rFont val="Tahoma"/>
            <charset val="1"/>
          </rPr>
          <t>Luas tanah</t>
        </r>
      </text>
    </comment>
    <comment ref="C28" authorId="0" shapeId="0" xr:uid="{8028D5B3-8BBD-417B-9491-E1B3470685D1}">
      <text>
        <r>
          <rPr>
            <b/>
            <sz val="9"/>
            <color indexed="81"/>
            <rFont val="Tahoma"/>
            <charset val="1"/>
          </rPr>
          <t>Selalu diisi 1</t>
        </r>
      </text>
    </comment>
    <comment ref="C29" authorId="0" shapeId="0" xr:uid="{B34ABFBB-1E94-4547-8AC3-6A4E5B875053}">
      <text>
        <r>
          <rPr>
            <b/>
            <sz val="9"/>
            <color indexed="81"/>
            <rFont val="Tahoma"/>
            <charset val="1"/>
          </rPr>
          <t>Estimasi total hari pengerjaan
1-200 -&gt; 4 hari
201 - 400 m2 -&gt; 7 hari
401 - 500 m2 -&gt; 10 hari</t>
        </r>
      </text>
    </comment>
    <comment ref="C34" authorId="0" shapeId="0" xr:uid="{ADA544B5-37AB-45CD-8D05-673BD23DA7B2}">
      <text>
        <r>
          <rPr>
            <b/>
            <sz val="9"/>
            <color indexed="81"/>
            <rFont val="Tahoma"/>
            <charset val="1"/>
          </rPr>
          <t>Monitoring setiap 6 bulan
garansi 5 thn</t>
        </r>
      </text>
    </comment>
    <comment ref="C40" authorId="0" shapeId="0" xr:uid="{7016AB4A-CF1E-4E5F-A60F-64126EEFFD4D}">
      <text>
        <r>
          <rPr>
            <b/>
            <sz val="9"/>
            <color indexed="81"/>
            <rFont val="Tahoma"/>
            <charset val="1"/>
          </rPr>
          <t>Selalu diisi 1</t>
        </r>
      </text>
    </comment>
    <comment ref="C41" authorId="0" shapeId="0" xr:uid="{E2976552-6717-48CA-8C0E-CDDD432351D2}">
      <text>
        <r>
          <rPr>
            <b/>
            <sz val="9"/>
            <color indexed="81"/>
            <rFont val="Tahoma"/>
            <charset val="1"/>
          </rPr>
          <t>Estimasi total hari pengerjaan
1-200 -&gt; 4 hari
201 - 400 m2 -&gt; 7 hari
401 - 500 m2 -&gt; 10 hari</t>
        </r>
      </text>
    </comment>
    <comment ref="E41" authorId="0" shapeId="0" xr:uid="{A23322DA-2DEC-46F4-9A63-EB415BA34AB0}">
      <text>
        <r>
          <rPr>
            <b/>
            <sz val="9"/>
            <color indexed="81"/>
            <rFont val="Tahoma"/>
            <charset val="1"/>
          </rPr>
          <t>Estimasi total hari pengerjaan
1-300 m2 -&gt; 2 teknisi
301-500 m2 -&gt; 3 teknisi</t>
        </r>
      </text>
    </comment>
    <comment ref="C46" authorId="0" shapeId="0" xr:uid="{D4778278-2598-4C66-9D6E-613D85978017}">
      <text>
        <r>
          <rPr>
            <b/>
            <sz val="9"/>
            <color indexed="81"/>
            <rFont val="Tahoma"/>
            <charset val="1"/>
          </rPr>
          <t>Monitoring setiap 6 bulan
garansi 5 thn</t>
        </r>
      </text>
    </comment>
    <comment ref="E46" authorId="0" shapeId="0" xr:uid="{7D41C756-D01F-4A4C-A93C-C513102A5F2D}">
      <text>
        <r>
          <rPr>
            <b/>
            <sz val="9"/>
            <color indexed="81"/>
            <rFont val="Tahoma"/>
            <charset val="1"/>
          </rPr>
          <t>Selalu 1</t>
        </r>
      </text>
    </comment>
    <comment ref="G46" authorId="0" shapeId="0" xr:uid="{4B136154-9E7B-4402-ABB2-91A202976957}">
      <text>
        <r>
          <rPr>
            <b/>
            <sz val="9"/>
            <color indexed="81"/>
            <rFont val="Tahoma"/>
            <charset val="1"/>
          </rPr>
          <t>Selalu 1</t>
        </r>
      </text>
    </comment>
    <comment ref="C65" authorId="0" shapeId="0" xr:uid="{BE0F8407-B54E-467C-A5B0-D6E26185057B}">
      <text>
        <r>
          <rPr>
            <b/>
            <sz val="9"/>
            <color indexed="81"/>
            <rFont val="Tahoma"/>
            <charset val="1"/>
          </rPr>
          <t>Rumus</t>
        </r>
      </text>
    </comment>
    <comment ref="M65" authorId="0" shapeId="0" xr:uid="{30E1798B-02E0-44BE-BFD2-C312A3996228}">
      <text>
        <r>
          <rPr>
            <b/>
            <sz val="9"/>
            <color indexed="81"/>
            <rFont val="Tahoma"/>
            <charset val="1"/>
          </rPr>
          <t xml:space="preserve">Rumus
</t>
        </r>
      </text>
    </comment>
    <comment ref="M67" authorId="0" shapeId="0" xr:uid="{5CFA095C-E4F9-42C4-8787-64B73C4D68E6}">
      <text>
        <r>
          <rPr>
            <b/>
            <sz val="9"/>
            <color indexed="81"/>
            <rFont val="Tahoma"/>
            <charset val="1"/>
          </rPr>
          <t>Rumus</t>
        </r>
      </text>
    </comment>
  </commentList>
</comments>
</file>

<file path=xl/sharedStrings.xml><?xml version="1.0" encoding="utf-8"?>
<sst xmlns="http://schemas.openxmlformats.org/spreadsheetml/2006/main" count="2617" uniqueCount="354">
  <si>
    <t>Biaya Transportasi mobil per km</t>
  </si>
  <si>
    <t>Customer Name</t>
  </si>
  <si>
    <t>%</t>
  </si>
  <si>
    <t>Total Cost</t>
  </si>
  <si>
    <t>Cost/%</t>
  </si>
  <si>
    <t>Grand max</t>
  </si>
  <si>
    <t>TOTAL COST</t>
  </si>
  <si>
    <t>Liter</t>
  </si>
  <si>
    <t>Pertalite update</t>
  </si>
  <si>
    <t>Contact Name</t>
  </si>
  <si>
    <t>Depresiasi</t>
  </si>
  <si>
    <t>km</t>
  </si>
  <si>
    <t>Biaya Bensin Kendaraan</t>
  </si>
  <si>
    <t>Contact Number</t>
  </si>
  <si>
    <t>Biaya Transportasi motor per km</t>
  </si>
  <si>
    <t>Biaya SDM</t>
  </si>
  <si>
    <t>Email</t>
  </si>
  <si>
    <t>Motor</t>
  </si>
  <si>
    <t>Biaya Kendaraan &amp; Alat2-N/A</t>
  </si>
  <si>
    <t>Alamat Utama</t>
  </si>
  <si>
    <t>Termite Control (TC)</t>
  </si>
  <si>
    <t>General Pest Control (GPC)</t>
  </si>
  <si>
    <t>Kota</t>
  </si>
  <si>
    <t>Survey per jam</t>
  </si>
  <si>
    <t>Alamat Aplikasi</t>
  </si>
  <si>
    <t>Rodent Control (RC)</t>
  </si>
  <si>
    <t>Gaji Pokok</t>
  </si>
  <si>
    <t>Lain-lain</t>
  </si>
  <si>
    <t>bln</t>
  </si>
  <si>
    <t>Uang Makan</t>
  </si>
  <si>
    <t>hari</t>
  </si>
  <si>
    <t>PROFIT MARGIN Minimal</t>
  </si>
  <si>
    <t>Pulsa HP</t>
  </si>
  <si>
    <t>Dep. HP</t>
  </si>
  <si>
    <t>THR / 12 bln</t>
  </si>
  <si>
    <t>Marketing</t>
  </si>
  <si>
    <t>Total Jam kerja</t>
  </si>
  <si>
    <t>PROFIT MARGIN Extra</t>
  </si>
  <si>
    <t>Aplikasi Pekerjaan Jam Kerja/Jam</t>
  </si>
  <si>
    <t>Gaji Total Teknisi</t>
  </si>
  <si>
    <t>Referal</t>
  </si>
  <si>
    <t>HARGA DASAR</t>
  </si>
  <si>
    <t>Kendala</t>
  </si>
  <si>
    <t>Seragam 2bh u/ 10bln dibyr 50% o/ Sano</t>
  </si>
  <si>
    <t>Mark Up/Discount</t>
  </si>
  <si>
    <t>Aplikasi Pekerjaan Jam Lembur/Jam</t>
  </si>
  <si>
    <t>Marketing Fee</t>
  </si>
  <si>
    <t>Harga Jual Sblm PPN</t>
  </si>
  <si>
    <t>Gaji Lembur Teknisi</t>
  </si>
  <si>
    <t>jam</t>
  </si>
  <si>
    <t>Rounding Value</t>
  </si>
  <si>
    <t>Keperluan Lain/Jam</t>
  </si>
  <si>
    <t>Harga Jual (Rounded)</t>
  </si>
  <si>
    <t>Teknisi (Station)</t>
  </si>
  <si>
    <t>Teknisi</t>
  </si>
  <si>
    <t>orang</t>
  </si>
  <si>
    <t>Supervisi</t>
  </si>
  <si>
    <t>Masker untuk Klien</t>
  </si>
  <si>
    <t>PPN</t>
  </si>
  <si>
    <t>Buah</t>
  </si>
  <si>
    <t>Company Profile</t>
  </si>
  <si>
    <t>Harga Jual Final</t>
  </si>
  <si>
    <t>buah</t>
  </si>
  <si>
    <t>PROGRES</t>
  </si>
  <si>
    <t>INFORMASI UMUM</t>
  </si>
  <si>
    <t>Laporan/SPK/Surat/Kontrak</t>
  </si>
  <si>
    <t>Harga Jual Setelah Discount</t>
  </si>
  <si>
    <t>Discount</t>
  </si>
  <si>
    <t>BAP</t>
  </si>
  <si>
    <t>BUAH</t>
  </si>
  <si>
    <t>Jarak Lokasi :</t>
  </si>
  <si>
    <t>Km</t>
  </si>
  <si>
    <t>LOG BOOK</t>
  </si>
  <si>
    <t>Jarak tempuh P-P</t>
  </si>
  <si>
    <t>Luas Area TC :</t>
  </si>
  <si>
    <t>m2</t>
  </si>
  <si>
    <t>Luas Area GPC/RC :</t>
  </si>
  <si>
    <t>Treatment</t>
  </si>
  <si>
    <t>Soil Treatment</t>
  </si>
  <si>
    <t>GPC</t>
  </si>
  <si>
    <t>Yes/No</t>
  </si>
  <si>
    <t>Smash 100 EC</t>
  </si>
  <si>
    <t>RC</t>
  </si>
  <si>
    <t>Wood Treatment</t>
  </si>
  <si>
    <t>TRANSPORTASI / APLIKASI / STATION</t>
  </si>
  <si>
    <t>Solar</t>
  </si>
  <si>
    <t>Solar Dexlite update</t>
  </si>
  <si>
    <t>Pertamax</t>
  </si>
  <si>
    <t>Pertamax update</t>
  </si>
  <si>
    <t>Pekerja - Persiapan</t>
  </si>
  <si>
    <t>Satuan</t>
  </si>
  <si>
    <t>PH Umum</t>
  </si>
  <si>
    <t>Biaya per unit</t>
  </si>
  <si>
    <t>Survei</t>
  </si>
  <si>
    <t>Mobil</t>
  </si>
  <si>
    <t>kali/bln</t>
  </si>
  <si>
    <t>Aplikasi Pekerjaan Jam Kerja</t>
  </si>
  <si>
    <t>Seruni 100 EC</t>
  </si>
  <si>
    <t>Aplikasi Pekerjaan Jam Lembur</t>
  </si>
  <si>
    <t>Keperluan Lain</t>
  </si>
  <si>
    <t>org</t>
  </si>
  <si>
    <t>-</t>
  </si>
  <si>
    <t>BAHAN &amp; PERSIAPAN</t>
  </si>
  <si>
    <t>TERMITE CONTROL (TC)</t>
  </si>
  <si>
    <t>Spray-Out (Fogging)</t>
  </si>
  <si>
    <t>set</t>
  </si>
  <si>
    <t>Spray-In (ULV)</t>
  </si>
  <si>
    <t>Residual</t>
  </si>
  <si>
    <t>Bait Trap (Lalat)</t>
  </si>
  <si>
    <t>Bait Trap (Kecoa &amp; Semut)</t>
  </si>
  <si>
    <t>Larvacida (Nyamuk)</t>
  </si>
  <si>
    <t>Insect Light Trap</t>
  </si>
  <si>
    <t>Set</t>
  </si>
  <si>
    <t>Bait Trap - PP.Tray</t>
  </si>
  <si>
    <t>Bait Trap - Blackbox</t>
  </si>
  <si>
    <t>Bait Trap Perangkap Massal</t>
  </si>
  <si>
    <t>Premise Soil Treatent per Liter Larutan</t>
  </si>
  <si>
    <t>Premise</t>
  </si>
  <si>
    <t>Larutan Air</t>
  </si>
  <si>
    <t>Jam</t>
  </si>
  <si>
    <t>Agenda Soil Treatent per Liter Larutan</t>
  </si>
  <si>
    <t>Agenda</t>
  </si>
  <si>
    <t>N/A</t>
  </si>
  <si>
    <t>Agenda Wood Treatent per Liter Larutan</t>
  </si>
  <si>
    <t>Mata Bor kayu 2mm</t>
  </si>
  <si>
    <t>Mata Bor kayu 3mm</t>
  </si>
  <si>
    <t>Mata bor Hilti 6mm</t>
  </si>
  <si>
    <t>Mata Bor Hilti 8mm</t>
  </si>
  <si>
    <t>Mata Bor Hilti 10mm</t>
  </si>
  <si>
    <t>Semen Warna</t>
  </si>
  <si>
    <t>Kg</t>
  </si>
  <si>
    <t>Premium</t>
  </si>
  <si>
    <t>Oli Fastron 10W-40SL</t>
  </si>
  <si>
    <t>ltr</t>
  </si>
  <si>
    <t>Sentricon RIG</t>
  </si>
  <si>
    <t>Chasing</t>
  </si>
  <si>
    <t>Unit</t>
  </si>
  <si>
    <t>Refill R2</t>
  </si>
  <si>
    <t>Sentricon RAG</t>
  </si>
  <si>
    <t>RAG</t>
  </si>
  <si>
    <t>unit</t>
  </si>
  <si>
    <t>Jarum B&amp;G</t>
  </si>
  <si>
    <t>SMASH 100 EC Fogging per Liter Larutan</t>
  </si>
  <si>
    <t>Dexlite update</t>
  </si>
  <si>
    <t>CLEARMOS ULV PER LITER LARUTAN</t>
  </si>
  <si>
    <t>CLEARMOS</t>
  </si>
  <si>
    <t>Agenda RSD Semut/Rayap per Liter Larutan</t>
  </si>
  <si>
    <t>AGENDA 25EC</t>
  </si>
  <si>
    <t>TENOPA RSD Kecoa Jerman</t>
  </si>
  <si>
    <t>TENOPA</t>
  </si>
  <si>
    <t>Flygard Bait Lalat</t>
  </si>
  <si>
    <t>FLYGARD</t>
  </si>
  <si>
    <t>gram</t>
  </si>
  <si>
    <t>Plastik Klip</t>
  </si>
  <si>
    <t>Agita WG Bait Lalat</t>
  </si>
  <si>
    <t>AGITA WG</t>
  </si>
  <si>
    <t>Blattanex Gel Bait trap</t>
  </si>
  <si>
    <t>Cetakan Baiting Kecoa</t>
  </si>
  <si>
    <t>Blattanex Gel</t>
  </si>
  <si>
    <t>Max Force Quantum Gel Semut</t>
  </si>
  <si>
    <t>Sedotan</t>
  </si>
  <si>
    <t>Lem Tikus Cap Gajah</t>
  </si>
  <si>
    <t>Tube</t>
  </si>
  <si>
    <t>Vectobac Larvasida</t>
  </si>
  <si>
    <t>Vectobac</t>
  </si>
  <si>
    <t>Abate Larvasida</t>
  </si>
  <si>
    <t>Abate</t>
  </si>
  <si>
    <t>Fly Catcher</t>
  </si>
  <si>
    <t>tb</t>
  </si>
  <si>
    <t>Stiker / Labelling / Baiting</t>
  </si>
  <si>
    <t>LS</t>
  </si>
  <si>
    <t>Duplex</t>
  </si>
  <si>
    <t>lmbr</t>
  </si>
  <si>
    <t>Lampu UV</t>
  </si>
  <si>
    <t>pcs</t>
  </si>
  <si>
    <t>Pekerjaan Persiapan</t>
  </si>
  <si>
    <t>Racumin Block</t>
  </si>
  <si>
    <t>Cetakan PP-Tray</t>
  </si>
  <si>
    <t>Racumin</t>
  </si>
  <si>
    <t>Campuran</t>
  </si>
  <si>
    <t>Raja</t>
  </si>
  <si>
    <t>Racumin Block PVC</t>
  </si>
  <si>
    <t>PVC Trap RTU</t>
  </si>
  <si>
    <t>Ls</t>
  </si>
  <si>
    <t>Racumin PVC</t>
  </si>
  <si>
    <t>Raja PVC</t>
  </si>
  <si>
    <t>Rat Box</t>
  </si>
  <si>
    <t>Piece</t>
  </si>
  <si>
    <t>Racumin Block Perangkap Masal</t>
  </si>
  <si>
    <t>Perangkap Massal</t>
  </si>
  <si>
    <t>Glue Box</t>
  </si>
  <si>
    <t>Ratgone Triplex</t>
  </si>
  <si>
    <t>Triplek</t>
  </si>
  <si>
    <t>Lembar</t>
  </si>
  <si>
    <t>Rat Gone</t>
  </si>
  <si>
    <t>Pekerja -Persiapan</t>
  </si>
  <si>
    <t>Racumin Triplex</t>
  </si>
  <si>
    <t>Raja Triplex</t>
  </si>
  <si>
    <t>RODDENT</t>
  </si>
  <si>
    <t>Clearmos</t>
  </si>
  <si>
    <t>Clearmos Fogging per Liter Larutan</t>
  </si>
  <si>
    <t>Xterm AG Station</t>
  </si>
  <si>
    <t>Cathridge AG Station</t>
  </si>
  <si>
    <t>AG Monitor</t>
  </si>
  <si>
    <t>AG Station</t>
  </si>
  <si>
    <t>Pasta</t>
  </si>
  <si>
    <t>tube</t>
  </si>
  <si>
    <t>Xterm IG Station</t>
  </si>
  <si>
    <t>Catheridge IG Station</t>
  </si>
  <si>
    <t>IG Wood Monitor</t>
  </si>
  <si>
    <t>IG Station</t>
  </si>
  <si>
    <t>Queen Killer</t>
  </si>
  <si>
    <t>Blackhole</t>
  </si>
  <si>
    <t>liter larutan</t>
  </si>
  <si>
    <t>Plastik (10gram)</t>
  </si>
  <si>
    <t>Tube 30 gram</t>
  </si>
  <si>
    <t>Racumin Glue Box Segitiga</t>
  </si>
  <si>
    <t>Perangkap Lem - Glue Box Segitiga</t>
  </si>
  <si>
    <t>Cat Trap</t>
  </si>
  <si>
    <t>Cat</t>
  </si>
  <si>
    <t>Conant</t>
  </si>
  <si>
    <t xml:space="preserve">Nama </t>
  </si>
  <si>
    <t>Alamat</t>
  </si>
  <si>
    <t>Installation Cost</t>
  </si>
  <si>
    <t>Hama</t>
  </si>
  <si>
    <t>CUSTOMER COST</t>
  </si>
  <si>
    <t>SANOcare cabang Surabaya</t>
  </si>
  <si>
    <t>CLIENT</t>
  </si>
  <si>
    <t>UNIFORM</t>
  </si>
  <si>
    <t>No.</t>
  </si>
  <si>
    <t>Rodentisida</t>
  </si>
  <si>
    <t>Sat</t>
  </si>
  <si>
    <t>Harga</t>
  </si>
  <si>
    <t>Forecast Install</t>
  </si>
  <si>
    <t>Nominal</t>
  </si>
  <si>
    <t>Depresiasi/bln</t>
  </si>
  <si>
    <t>Bln</t>
  </si>
  <si>
    <t>gr</t>
  </si>
  <si>
    <t>Topi</t>
  </si>
  <si>
    <t>Lem Gajah</t>
  </si>
  <si>
    <t>Perangkap Masal</t>
  </si>
  <si>
    <t>Atasan</t>
  </si>
  <si>
    <t>Glue Trap</t>
  </si>
  <si>
    <t>Celana</t>
  </si>
  <si>
    <t>Toolbox</t>
  </si>
  <si>
    <t>Sepatu</t>
  </si>
  <si>
    <t>Racumin TP</t>
  </si>
  <si>
    <t>Stiker Unit</t>
  </si>
  <si>
    <t>Stiker MD</t>
  </si>
  <si>
    <t>Total</t>
  </si>
  <si>
    <t>Total Chemical Rodent</t>
  </si>
  <si>
    <t>Insektisida</t>
  </si>
  <si>
    <t>Spray Burung</t>
  </si>
  <si>
    <t>Single Trap</t>
  </si>
  <si>
    <t>Agita WG</t>
  </si>
  <si>
    <t>Senter</t>
  </si>
  <si>
    <t xml:space="preserve">Blattanex </t>
  </si>
  <si>
    <t>RAT BOX</t>
  </si>
  <si>
    <t>ml</t>
  </si>
  <si>
    <t>Pohon Lalat</t>
  </si>
  <si>
    <t>Obeng</t>
  </si>
  <si>
    <t>MC</t>
  </si>
  <si>
    <t>K Othrin</t>
  </si>
  <si>
    <t>Masker 3 M</t>
  </si>
  <si>
    <t>Logbook</t>
  </si>
  <si>
    <t>buku</t>
  </si>
  <si>
    <t>Lampu FC</t>
  </si>
  <si>
    <t>Lampu BH</t>
  </si>
  <si>
    <t>Nuvet+</t>
  </si>
  <si>
    <t>Kuas</t>
  </si>
  <si>
    <t>Katride</t>
  </si>
  <si>
    <t>Smash</t>
  </si>
  <si>
    <t>HT</t>
  </si>
  <si>
    <t>Tenopa</t>
  </si>
  <si>
    <t>Gunting</t>
  </si>
  <si>
    <t>Total Chemical Pest</t>
  </si>
  <si>
    <t>Gelas Ukur</t>
  </si>
  <si>
    <t>Ear Plug</t>
  </si>
  <si>
    <t>Gas Butane</t>
  </si>
  <si>
    <t>Glove Karet</t>
  </si>
  <si>
    <t>Pack</t>
  </si>
  <si>
    <t>Caddy bag</t>
  </si>
  <si>
    <t>Glue Pad</t>
  </si>
  <si>
    <t>Majun</t>
  </si>
  <si>
    <t>kg</t>
  </si>
  <si>
    <t>Palu</t>
  </si>
  <si>
    <t>Masker Kain</t>
  </si>
  <si>
    <t>pack</t>
  </si>
  <si>
    <t>Locker</t>
  </si>
  <si>
    <t>PP-Tray</t>
  </si>
  <si>
    <t>Total Pembelian</t>
  </si>
  <si>
    <t>Total Material support bulanan</t>
  </si>
  <si>
    <t>Grand Total</t>
  </si>
  <si>
    <t>Total Harga per bulan</t>
  </si>
  <si>
    <t>K Othrine Fogging per Liter Larutan</t>
  </si>
  <si>
    <t>K Othrine</t>
  </si>
  <si>
    <t>K OTHRINE</t>
  </si>
  <si>
    <t>K OTHRINE ULV PER LITER LARUTAN</t>
  </si>
  <si>
    <t>K OTHRINE per Liter Larutan</t>
  </si>
  <si>
    <t>Quantum Gel</t>
  </si>
  <si>
    <t>Tube 12 gram</t>
  </si>
  <si>
    <t>Pohon Lalat (Lalat)</t>
  </si>
  <si>
    <t>Lavender per Liter Larutan</t>
  </si>
  <si>
    <t>Hoy Hoy (Kecoa)</t>
  </si>
  <si>
    <t>Hoy Hoy</t>
  </si>
  <si>
    <t>HIT</t>
  </si>
  <si>
    <t>Sprayer B&amp;G</t>
  </si>
  <si>
    <t>Uniform full set</t>
  </si>
  <si>
    <t>Unit PP Tray</t>
  </si>
  <si>
    <t>Storin Fogging per Liter Larutan (White Oil)</t>
  </si>
  <si>
    <t>White Oil</t>
  </si>
  <si>
    <t>Storin per Liter Larutan</t>
  </si>
  <si>
    <t>Storin</t>
  </si>
  <si>
    <t>Racumin Unit PP Tray</t>
  </si>
  <si>
    <t>Unit Black Box</t>
  </si>
  <si>
    <t>Racumin Block Black Box</t>
  </si>
  <si>
    <t>Unit Block Perangkap Masal</t>
  </si>
  <si>
    <t>Unit Glue Box Segitiga</t>
  </si>
  <si>
    <t>Kleret</t>
  </si>
  <si>
    <t xml:space="preserve">Maowang Beras </t>
  </si>
  <si>
    <t xml:space="preserve">Umpan Raja </t>
  </si>
  <si>
    <t>saset</t>
  </si>
  <si>
    <t xml:space="preserve">Agiri/Green /Mega stick </t>
  </si>
  <si>
    <t xml:space="preserve">Belerang </t>
  </si>
  <si>
    <t>Ficam + Boortalk</t>
  </si>
  <si>
    <t xml:space="preserve">Fly bait / Fly Grad </t>
  </si>
  <si>
    <t>Lavender</t>
  </si>
  <si>
    <t>Malathion</t>
  </si>
  <si>
    <t>Maxfor forte</t>
  </si>
  <si>
    <t>Quantum</t>
  </si>
  <si>
    <t>Racun Lalat</t>
  </si>
  <si>
    <t>Regent</t>
  </si>
  <si>
    <t>Sereh</t>
  </si>
  <si>
    <t xml:space="preserve">Sumo </t>
  </si>
  <si>
    <t>Temprid</t>
  </si>
  <si>
    <t xml:space="preserve">White Oil </t>
  </si>
  <si>
    <t xml:space="preserve">Black Hole </t>
  </si>
  <si>
    <t>Expose</t>
  </si>
  <si>
    <t>Expose Wood Treatent per Liter Larutan</t>
  </si>
  <si>
    <t>Expose Soil Treatent per Liter Larutan</t>
  </si>
  <si>
    <t>UMK Kota Surabaya 2024</t>
  </si>
  <si>
    <t>Pertalite</t>
  </si>
  <si>
    <t>Update 2024</t>
  </si>
  <si>
    <t>BU SHOFIE</t>
  </si>
  <si>
    <t>PUNCAK DHARMAHUSADA APARTMENT, Jl. Kalijudan Asri Indah No.51, Kalijudan, Mulyorejo, Surabaya, East Java 60114</t>
  </si>
  <si>
    <t>Pak Wisnu</t>
  </si>
  <si>
    <t>Merutu</t>
  </si>
  <si>
    <t>Perhitungan chemical set</t>
  </si>
  <si>
    <t>total botol chemical</t>
  </si>
  <si>
    <t>Jumlah lantai :</t>
  </si>
  <si>
    <t>PIPANISASI</t>
  </si>
  <si>
    <t xml:space="preserve">TOTAL PENAWARAN </t>
  </si>
  <si>
    <t>Total Larutan EXPOSE</t>
  </si>
  <si>
    <t>Total Larutan PREMISE &amp; AGENDA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</si>
</sst>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-* #,##0_-;\-* #,##0_-;_-* &quot;-&quot;??_-;_-@_-"/>
  </numFmts>
  <fonts count="30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FFFFFF"/>
      <name val="Calibri"/>
      <family val="2"/>
    </font>
    <font>
      <sz val="12"/>
      <color rgb="FF000000"/>
      <name val="Calibri"/>
      <family val="2"/>
    </font>
    <font>
      <sz val="11"/>
      <color rgb="FF7E3794"/>
      <name val="Inconsolata"/>
    </font>
    <font>
      <sz val="14"/>
      <color rgb="FF000000"/>
      <name val="Calibri"/>
      <family val="2"/>
    </font>
    <font>
      <b/>
      <sz val="15"/>
      <color rgb="FF000000"/>
      <name val="Calibri"/>
      <family val="2"/>
    </font>
    <font>
      <sz val="14"/>
      <name val="Calibri"/>
      <family val="2"/>
    </font>
    <font>
      <sz val="11"/>
      <color rgb="FF000000"/>
      <name val="Inconsolata"/>
    </font>
    <font>
      <sz val="11"/>
      <color rgb="FF000000"/>
      <name val="Calibri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808080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F6B26B"/>
        <bgColor rgb="FFF6B26B"/>
      </patternFill>
    </fill>
    <fill>
      <patternFill patternType="solid">
        <fgColor rgb="FF000000"/>
        <bgColor rgb="FF000000"/>
      </patternFill>
    </fill>
    <fill>
      <patternFill patternType="solid">
        <fgColor rgb="FFD9EAD3"/>
        <bgColor rgb="FFD9EAD3"/>
      </patternFill>
    </fill>
    <fill>
      <patternFill patternType="solid">
        <fgColor rgb="FF404040"/>
        <bgColor rgb="FF404040"/>
      </patternFill>
    </fill>
    <fill>
      <patternFill patternType="solid">
        <fgColor rgb="FFBFBFBF"/>
        <bgColor rgb="FFBFBFBF"/>
      </patternFill>
    </fill>
    <fill>
      <patternFill patternType="solid">
        <fgColor rgb="FF595959"/>
        <bgColor rgb="FF59595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8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DB3E2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BFBFBF"/>
        <bgColor indexed="64"/>
      </patternFill>
    </fill>
  </fills>
  <borders count="26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9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164" fontId="13" fillId="0" borderId="0" applyFont="0" applyFill="0" applyBorder="0" applyAlignment="0" applyProtection="0"/>
    <xf numFmtId="165" fontId="13" fillId="0" borderId="0" applyFont="0" applyFill="0" applyBorder="0" applyAlignment="0" applyProtection="0"/>
  </cellStyleXfs>
  <cellXfs count="199">
    <xf numFmtId="0" fontId="0" fillId="0" borderId="0" xfId="0"/>
    <xf numFmtId="0" fontId="2" fillId="2" borderId="0" xfId="0" applyFont="1" applyFill="1"/>
    <xf numFmtId="4" fontId="2" fillId="2" borderId="0" xfId="0" applyNumberFormat="1" applyFont="1" applyFill="1"/>
    <xf numFmtId="0" fontId="2" fillId="3" borderId="1" xfId="0" applyFont="1" applyFill="1" applyBorder="1"/>
    <xf numFmtId="4" fontId="2" fillId="2" borderId="0" xfId="0" applyNumberFormat="1" applyFont="1" applyFill="1" applyAlignment="1">
      <alignment horizontal="right"/>
    </xf>
    <xf numFmtId="0" fontId="2" fillId="0" borderId="0" xfId="0" applyFont="1"/>
    <xf numFmtId="4" fontId="2" fillId="0" borderId="0" xfId="0" applyNumberFormat="1" applyFont="1"/>
    <xf numFmtId="0" fontId="4" fillId="5" borderId="1" xfId="0" applyFont="1" applyFill="1" applyBorder="1"/>
    <xf numFmtId="4" fontId="2" fillId="0" borderId="0" xfId="0" applyNumberFormat="1" applyFont="1" applyAlignment="1">
      <alignment horizontal="right"/>
    </xf>
    <xf numFmtId="0" fontId="2" fillId="5" borderId="1" xfId="0" applyFont="1" applyFill="1" applyBorder="1" applyAlignment="1">
      <alignment horizontal="center"/>
    </xf>
    <xf numFmtId="4" fontId="2" fillId="6" borderId="0" xfId="0" applyNumberFormat="1" applyFont="1" applyFill="1" applyAlignment="1">
      <alignment horizontal="right"/>
    </xf>
    <xf numFmtId="4" fontId="5" fillId="7" borderId="1" xfId="0" applyNumberFormat="1" applyFont="1" applyFill="1" applyBorder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4" fontId="2" fillId="0" borderId="1" xfId="0" applyNumberFormat="1" applyFont="1" applyBorder="1" applyAlignment="1">
      <alignment horizontal="right"/>
    </xf>
    <xf numFmtId="0" fontId="2" fillId="8" borderId="1" xfId="0" applyFont="1" applyFill="1" applyBorder="1"/>
    <xf numFmtId="0" fontId="3" fillId="3" borderId="1" xfId="0" applyFont="1" applyFill="1" applyBorder="1"/>
    <xf numFmtId="9" fontId="2" fillId="3" borderId="1" xfId="0" applyNumberFormat="1" applyFont="1" applyFill="1" applyBorder="1" applyAlignment="1">
      <alignment horizontal="center"/>
    </xf>
    <xf numFmtId="4" fontId="6" fillId="4" borderId="1" xfId="0" applyNumberFormat="1" applyFont="1" applyFill="1" applyBorder="1"/>
    <xf numFmtId="0" fontId="4" fillId="0" borderId="1" xfId="0" applyFont="1" applyBorder="1" applyAlignment="1">
      <alignment horizontal="center"/>
    </xf>
    <xf numFmtId="4" fontId="7" fillId="9" borderId="1" xfId="0" applyNumberFormat="1" applyFont="1" applyFill="1" applyBorder="1" applyAlignment="1">
      <alignment horizontal="right"/>
    </xf>
    <xf numFmtId="3" fontId="2" fillId="3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2" fillId="3" borderId="1" xfId="0" applyFont="1" applyFill="1" applyBorder="1" applyAlignment="1">
      <alignment horizontal="center"/>
    </xf>
    <xf numFmtId="0" fontId="4" fillId="0" borderId="0" xfId="0" applyFont="1"/>
    <xf numFmtId="4" fontId="4" fillId="0" borderId="0" xfId="0" applyNumberFormat="1" applyFont="1"/>
    <xf numFmtId="0" fontId="3" fillId="0" borderId="1" xfId="0" applyFont="1" applyBorder="1" applyAlignment="1">
      <alignment horizontal="center"/>
    </xf>
    <xf numFmtId="4" fontId="8" fillId="9" borderId="1" xfId="0" applyNumberFormat="1" applyFont="1" applyFill="1" applyBorder="1" applyAlignment="1">
      <alignment horizontal="right"/>
    </xf>
    <xf numFmtId="0" fontId="4" fillId="8" borderId="0" xfId="0" applyFont="1" applyFill="1"/>
    <xf numFmtId="4" fontId="4" fillId="8" borderId="0" xfId="0" applyNumberFormat="1" applyFont="1" applyFill="1"/>
    <xf numFmtId="0" fontId="3" fillId="0" borderId="0" xfId="0" applyFont="1" applyAlignment="1">
      <alignment horizontal="center"/>
    </xf>
    <xf numFmtId="0" fontId="4" fillId="5" borderId="0" xfId="0" applyFont="1" applyFill="1"/>
    <xf numFmtId="4" fontId="4" fillId="5" borderId="0" xfId="0" applyNumberFormat="1" applyFont="1" applyFill="1"/>
    <xf numFmtId="4" fontId="9" fillId="0" borderId="1" xfId="0" applyNumberFormat="1" applyFont="1" applyBorder="1"/>
    <xf numFmtId="4" fontId="2" fillId="4" borderId="0" xfId="0" applyNumberFormat="1" applyFont="1" applyFill="1" applyAlignment="1">
      <alignment horizontal="right"/>
    </xf>
    <xf numFmtId="9" fontId="2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2" fillId="6" borderId="0" xfId="0" applyFont="1" applyFill="1"/>
    <xf numFmtId="0" fontId="4" fillId="10" borderId="0" xfId="0" applyFont="1" applyFill="1"/>
    <xf numFmtId="4" fontId="4" fillId="10" borderId="0" xfId="0" applyNumberFormat="1" applyFont="1" applyFill="1"/>
    <xf numFmtId="9" fontId="2" fillId="0" borderId="0" xfId="0" applyNumberFormat="1" applyFont="1" applyAlignment="1">
      <alignment horizontal="center"/>
    </xf>
    <xf numFmtId="4" fontId="3" fillId="0" borderId="0" xfId="0" applyNumberFormat="1" applyFont="1"/>
    <xf numFmtId="0" fontId="4" fillId="11" borderId="0" xfId="0" applyFont="1" applyFill="1"/>
    <xf numFmtId="4" fontId="2" fillId="11" borderId="0" xfId="0" applyNumberFormat="1" applyFont="1" applyFill="1"/>
    <xf numFmtId="0" fontId="2" fillId="11" borderId="0" xfId="0" applyFont="1" applyFill="1"/>
    <xf numFmtId="0" fontId="4" fillId="12" borderId="0" xfId="0" applyFont="1" applyFill="1"/>
    <xf numFmtId="0" fontId="2" fillId="12" borderId="0" xfId="0" applyFont="1" applyFill="1"/>
    <xf numFmtId="4" fontId="2" fillId="12" borderId="0" xfId="0" applyNumberFormat="1" applyFont="1" applyFill="1"/>
    <xf numFmtId="0" fontId="10" fillId="4" borderId="0" xfId="0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2" fillId="6" borderId="0" xfId="0" applyFont="1" applyFill="1" applyAlignment="1">
      <alignment horizontal="right"/>
    </xf>
    <xf numFmtId="4" fontId="10" fillId="4" borderId="0" xfId="0" applyNumberFormat="1" applyFont="1" applyFill="1"/>
    <xf numFmtId="0" fontId="2" fillId="13" borderId="0" xfId="0" applyFont="1" applyFill="1"/>
    <xf numFmtId="0" fontId="2" fillId="4" borderId="0" xfId="0" applyFont="1" applyFill="1"/>
    <xf numFmtId="0" fontId="2" fillId="14" borderId="0" xfId="0" applyFont="1" applyFill="1"/>
    <xf numFmtId="0" fontId="2" fillId="15" borderId="0" xfId="0" applyFont="1" applyFill="1"/>
    <xf numFmtId="0" fontId="4" fillId="0" borderId="0" xfId="0" applyFont="1" applyAlignment="1">
      <alignment horizontal="center"/>
    </xf>
    <xf numFmtId="0" fontId="12" fillId="0" borderId="0" xfId="0" applyFont="1"/>
    <xf numFmtId="0" fontId="14" fillId="0" borderId="16" xfId="0" applyFont="1" applyBorder="1" applyAlignment="1">
      <alignment vertical="center"/>
    </xf>
    <xf numFmtId="0" fontId="16" fillId="0" borderId="16" xfId="0" applyFont="1" applyBorder="1"/>
    <xf numFmtId="0" fontId="17" fillId="0" borderId="0" xfId="0" applyFont="1" applyAlignment="1">
      <alignment vertical="top"/>
    </xf>
    <xf numFmtId="0" fontId="17" fillId="0" borderId="0" xfId="0" applyFont="1"/>
    <xf numFmtId="166" fontId="0" fillId="0" borderId="0" xfId="2" applyNumberFormat="1" applyFont="1"/>
    <xf numFmtId="0" fontId="17" fillId="16" borderId="17" xfId="0" applyFont="1" applyFill="1" applyBorder="1" applyAlignment="1">
      <alignment horizontal="center" vertical="center"/>
    </xf>
    <xf numFmtId="166" fontId="20" fillId="16" borderId="17" xfId="2" applyNumberFormat="1" applyFont="1" applyFill="1" applyBorder="1" applyAlignment="1">
      <alignment horizontal="center" vertical="center" wrapText="1"/>
    </xf>
    <xf numFmtId="0" fontId="20" fillId="16" borderId="17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/>
    </xf>
    <xf numFmtId="166" fontId="0" fillId="0" borderId="17" xfId="2" applyNumberFormat="1" applyFont="1" applyBorder="1"/>
    <xf numFmtId="166" fontId="0" fillId="0" borderId="17" xfId="0" applyNumberFormat="1" applyBorder="1"/>
    <xf numFmtId="0" fontId="1" fillId="17" borderId="17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7" borderId="17" xfId="0" applyFill="1" applyBorder="1" applyAlignment="1">
      <alignment vertical="center"/>
    </xf>
    <xf numFmtId="0" fontId="1" fillId="17" borderId="17" xfId="0" applyFont="1" applyFill="1" applyBorder="1" applyAlignment="1">
      <alignment horizontal="center"/>
    </xf>
    <xf numFmtId="0" fontId="21" fillId="17" borderId="17" xfId="0" applyFont="1" applyFill="1" applyBorder="1" applyAlignment="1">
      <alignment horizontal="center" vertical="center"/>
    </xf>
    <xf numFmtId="0" fontId="1" fillId="17" borderId="17" xfId="0" applyFont="1" applyFill="1" applyBorder="1" applyAlignment="1">
      <alignment horizontal="left" vertical="center"/>
    </xf>
    <xf numFmtId="0" fontId="18" fillId="17" borderId="17" xfId="0" applyFont="1" applyFill="1" applyBorder="1" applyAlignment="1">
      <alignment horizontal="left" vertical="center"/>
    </xf>
    <xf numFmtId="0" fontId="18" fillId="17" borderId="17" xfId="0" applyFont="1" applyFill="1" applyBorder="1" applyAlignment="1">
      <alignment horizontal="center" vertical="center"/>
    </xf>
    <xf numFmtId="166" fontId="23" fillId="18" borderId="17" xfId="0" applyNumberFormat="1" applyFont="1" applyFill="1" applyBorder="1"/>
    <xf numFmtId="0" fontId="0" fillId="17" borderId="17" xfId="0" applyFill="1" applyBorder="1" applyAlignment="1">
      <alignment horizontal="left" vertical="center"/>
    </xf>
    <xf numFmtId="0" fontId="0" fillId="0" borderId="22" xfId="0" applyBorder="1"/>
    <xf numFmtId="0" fontId="0" fillId="0" borderId="22" xfId="0" applyBorder="1" applyAlignment="1">
      <alignment horizontal="center" vertical="center"/>
    </xf>
    <xf numFmtId="166" fontId="0" fillId="0" borderId="22" xfId="2" applyNumberFormat="1" applyFont="1" applyBorder="1"/>
    <xf numFmtId="0" fontId="1" fillId="17" borderId="17" xfId="0" applyFont="1" applyFill="1" applyBorder="1"/>
    <xf numFmtId="166" fontId="0" fillId="0" borderId="18" xfId="2" applyNumberFormat="1" applyFont="1" applyBorder="1"/>
    <xf numFmtId="0" fontId="24" fillId="0" borderId="0" xfId="0" applyFont="1"/>
    <xf numFmtId="166" fontId="25" fillId="19" borderId="17" xfId="0" applyNumberFormat="1" applyFont="1" applyFill="1" applyBorder="1"/>
    <xf numFmtId="166" fontId="23" fillId="19" borderId="17" xfId="0" applyNumberFormat="1" applyFont="1" applyFill="1" applyBorder="1"/>
    <xf numFmtId="166" fontId="26" fillId="14" borderId="17" xfId="0" applyNumberFormat="1" applyFont="1" applyFill="1" applyBorder="1"/>
    <xf numFmtId="166" fontId="23" fillId="0" borderId="23" xfId="0" applyNumberFormat="1" applyFont="1" applyBorder="1"/>
    <xf numFmtId="0" fontId="27" fillId="0" borderId="0" xfId="0" applyFont="1"/>
    <xf numFmtId="166" fontId="25" fillId="14" borderId="19" xfId="0" applyNumberFormat="1" applyFont="1" applyFill="1" applyBorder="1" applyAlignment="1">
      <alignment horizontal="center"/>
    </xf>
    <xf numFmtId="166" fontId="25" fillId="14" borderId="20" xfId="0" applyNumberFormat="1" applyFont="1" applyFill="1" applyBorder="1" applyAlignment="1">
      <alignment horizontal="center"/>
    </xf>
    <xf numFmtId="166" fontId="25" fillId="14" borderId="21" xfId="0" applyNumberFormat="1" applyFont="1" applyFill="1" applyBorder="1"/>
    <xf numFmtId="166" fontId="26" fillId="0" borderId="0" xfId="0" applyNumberFormat="1" applyFont="1"/>
    <xf numFmtId="0" fontId="28" fillId="0" borderId="0" xfId="0" applyFont="1"/>
    <xf numFmtId="165" fontId="2" fillId="14" borderId="0" xfId="2" applyFont="1" applyFill="1" applyAlignment="1">
      <alignment horizontal="right"/>
    </xf>
    <xf numFmtId="4" fontId="10" fillId="0" borderId="0" xfId="0" applyNumberFormat="1" applyFont="1"/>
    <xf numFmtId="0" fontId="2" fillId="21" borderId="0" xfId="0" applyFont="1" applyFill="1"/>
    <xf numFmtId="166" fontId="0" fillId="0" borderId="18" xfId="2" applyNumberFormat="1" applyFont="1" applyFill="1" applyBorder="1"/>
    <xf numFmtId="3" fontId="10" fillId="4" borderId="0" xfId="0" applyNumberFormat="1" applyFont="1" applyFill="1"/>
    <xf numFmtId="0" fontId="0" fillId="0" borderId="24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3" fontId="5" fillId="7" borderId="1" xfId="0" applyNumberFormat="1" applyFont="1" applyFill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3" fontId="6" fillId="4" borderId="1" xfId="0" applyNumberFormat="1" applyFont="1" applyFill="1" applyBorder="1"/>
    <xf numFmtId="3" fontId="7" fillId="9" borderId="1" xfId="0" applyNumberFormat="1" applyFont="1" applyFill="1" applyBorder="1" applyAlignment="1">
      <alignment horizontal="right"/>
    </xf>
    <xf numFmtId="3" fontId="3" fillId="0" borderId="1" xfId="0" applyNumberFormat="1" applyFont="1" applyBorder="1"/>
    <xf numFmtId="3" fontId="8" fillId="9" borderId="1" xfId="0" applyNumberFormat="1" applyFont="1" applyFill="1" applyBorder="1" applyAlignment="1">
      <alignment horizontal="right"/>
    </xf>
    <xf numFmtId="167" fontId="2" fillId="6" borderId="0" xfId="2" applyNumberFormat="1" applyFont="1" applyFill="1" applyAlignment="1">
      <alignment horizontal="right"/>
    </xf>
    <xf numFmtId="167" fontId="2" fillId="0" borderId="0" xfId="2" applyNumberFormat="1" applyFont="1"/>
    <xf numFmtId="167" fontId="2" fillId="0" borderId="0" xfId="2" applyNumberFormat="1" applyFont="1" applyAlignment="1">
      <alignment horizontal="right"/>
    </xf>
    <xf numFmtId="0" fontId="3" fillId="0" borderId="9" xfId="0" applyFont="1" applyBorder="1"/>
    <xf numFmtId="0" fontId="3" fillId="0" borderId="12" xfId="0" applyFont="1" applyBorder="1"/>
    <xf numFmtId="0" fontId="2" fillId="0" borderId="5" xfId="0" applyFont="1" applyBorder="1" applyAlignment="1">
      <alignment vertical="center"/>
    </xf>
    <xf numFmtId="167" fontId="10" fillId="0" borderId="0" xfId="2" applyNumberFormat="1" applyFont="1"/>
    <xf numFmtId="0" fontId="2" fillId="14" borderId="0" xfId="0" applyFont="1" applyFill="1" applyAlignment="1">
      <alignment horizontal="center"/>
    </xf>
    <xf numFmtId="0" fontId="16" fillId="0" borderId="16" xfId="0" applyFont="1" applyBorder="1" applyAlignment="1">
      <alignment vertical="center"/>
    </xf>
    <xf numFmtId="0" fontId="2" fillId="22" borderId="0" xfId="0" applyFont="1" applyFill="1" applyAlignment="1">
      <alignment horizontal="center"/>
    </xf>
    <xf numFmtId="0" fontId="16" fillId="22" borderId="16" xfId="0" applyFont="1" applyFill="1" applyBorder="1"/>
    <xf numFmtId="0" fontId="14" fillId="22" borderId="0" xfId="0" applyFont="1" applyFill="1"/>
    <xf numFmtId="0" fontId="2" fillId="3" borderId="5" xfId="0" applyFont="1" applyFill="1" applyBorder="1" applyAlignment="1">
      <alignment horizontal="left" vertical="top"/>
    </xf>
    <xf numFmtId="0" fontId="3" fillId="0" borderId="9" xfId="0" applyFont="1" applyBorder="1"/>
    <xf numFmtId="0" fontId="3" fillId="0" borderId="12" xfId="0" applyFont="1" applyBorder="1"/>
    <xf numFmtId="0" fontId="2" fillId="0" borderId="6" xfId="0" applyFont="1" applyBorder="1" applyAlignment="1">
      <alignment vertical="top"/>
    </xf>
    <xf numFmtId="0" fontId="3" fillId="0" borderId="7" xfId="0" applyFont="1" applyBorder="1" applyAlignment="1">
      <alignment vertical="top"/>
    </xf>
    <xf numFmtId="0" fontId="3" fillId="14" borderId="7" xfId="0" applyFont="1" applyFill="1" applyBorder="1" applyAlignment="1">
      <alignment vertical="top"/>
    </xf>
    <xf numFmtId="0" fontId="3" fillId="14" borderId="8" xfId="0" applyFont="1" applyFill="1" applyBorder="1" applyAlignment="1">
      <alignment vertical="top"/>
    </xf>
    <xf numFmtId="0" fontId="3" fillId="0" borderId="10" xfId="0" applyFont="1" applyBorder="1" applyAlignment="1">
      <alignment vertical="top"/>
    </xf>
    <xf numFmtId="0" fontId="0" fillId="0" borderId="0" xfId="0" applyAlignment="1">
      <alignment vertical="top"/>
    </xf>
    <xf numFmtId="0" fontId="0" fillId="14" borderId="0" xfId="0" applyFill="1" applyAlignment="1">
      <alignment vertical="top"/>
    </xf>
    <xf numFmtId="0" fontId="3" fillId="14" borderId="11" xfId="0" applyFont="1" applyFill="1" applyBorder="1" applyAlignment="1">
      <alignment vertical="top"/>
    </xf>
    <xf numFmtId="0" fontId="3" fillId="0" borderId="13" xfId="0" applyFont="1" applyBorder="1" applyAlignment="1">
      <alignment vertical="top"/>
    </xf>
    <xf numFmtId="0" fontId="3" fillId="0" borderId="14" xfId="0" applyFont="1" applyBorder="1" applyAlignment="1">
      <alignment vertical="top"/>
    </xf>
    <xf numFmtId="0" fontId="3" fillId="14" borderId="14" xfId="0" applyFont="1" applyFill="1" applyBorder="1" applyAlignment="1">
      <alignment vertical="top"/>
    </xf>
    <xf numFmtId="0" fontId="3" fillId="14" borderId="15" xfId="0" applyFont="1" applyFill="1" applyBorder="1" applyAlignment="1">
      <alignment vertical="top"/>
    </xf>
    <xf numFmtId="0" fontId="11" fillId="0" borderId="2" xfId="0" applyFont="1" applyBorder="1"/>
    <xf numFmtId="0" fontId="3" fillId="0" borderId="3" xfId="0" applyFont="1" applyBorder="1"/>
    <xf numFmtId="0" fontId="3" fillId="14" borderId="3" xfId="0" applyFont="1" applyFill="1" applyBorder="1"/>
    <xf numFmtId="0" fontId="3" fillId="14" borderId="4" xfId="0" applyFont="1" applyFill="1" applyBorder="1"/>
    <xf numFmtId="0" fontId="2" fillId="0" borderId="2" xfId="0" quotePrefix="1" applyFont="1" applyBorder="1"/>
    <xf numFmtId="0" fontId="2" fillId="0" borderId="2" xfId="0" applyFont="1" applyBorder="1"/>
    <xf numFmtId="164" fontId="2" fillId="0" borderId="16" xfId="1" applyFont="1" applyBorder="1" applyAlignment="1">
      <alignment horizontal="left"/>
    </xf>
    <xf numFmtId="164" fontId="11" fillId="0" borderId="16" xfId="1" applyFont="1" applyBorder="1" applyAlignment="1">
      <alignment horizontal="left"/>
    </xf>
    <xf numFmtId="0" fontId="15" fillId="0" borderId="16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11" fillId="0" borderId="16" xfId="0" applyFont="1" applyBorder="1" applyAlignment="1">
      <alignment horizontal="left"/>
    </xf>
    <xf numFmtId="164" fontId="14" fillId="0" borderId="16" xfId="1" applyFont="1" applyBorder="1" applyAlignment="1">
      <alignment horizontal="left"/>
    </xf>
    <xf numFmtId="0" fontId="3" fillId="0" borderId="4" xfId="0" applyFont="1" applyBorder="1"/>
    <xf numFmtId="0" fontId="3" fillId="0" borderId="8" xfId="0" applyFont="1" applyBorder="1" applyAlignment="1">
      <alignment vertical="top"/>
    </xf>
    <xf numFmtId="0" fontId="3" fillId="0" borderId="11" xfId="0" applyFont="1" applyBorder="1" applyAlignment="1">
      <alignment vertical="top"/>
    </xf>
    <xf numFmtId="0" fontId="3" fillId="0" borderId="15" xfId="0" applyFont="1" applyBorder="1" applyAlignment="1">
      <alignment vertical="top"/>
    </xf>
    <xf numFmtId="164" fontId="14" fillId="22" borderId="16" xfId="1" applyFont="1" applyFill="1" applyBorder="1" applyAlignment="1">
      <alignment horizontal="left"/>
    </xf>
    <xf numFmtId="0" fontId="2" fillId="0" borderId="16" xfId="0" applyFont="1" applyBorder="1" applyAlignment="1">
      <alignment horizontal="left" wrapText="1"/>
    </xf>
    <xf numFmtId="166" fontId="25" fillId="19" borderId="19" xfId="0" applyNumberFormat="1" applyFont="1" applyFill="1" applyBorder="1" applyAlignment="1">
      <alignment horizontal="center"/>
    </xf>
    <xf numFmtId="166" fontId="25" fillId="19" borderId="20" xfId="0" applyNumberFormat="1" applyFont="1" applyFill="1" applyBorder="1" applyAlignment="1">
      <alignment horizontal="center"/>
    </xf>
    <xf numFmtId="166" fontId="25" fillId="19" borderId="21" xfId="0" applyNumberFormat="1" applyFont="1" applyFill="1" applyBorder="1" applyAlignment="1">
      <alignment horizontal="center"/>
    </xf>
    <xf numFmtId="0" fontId="23" fillId="18" borderId="19" xfId="0" applyFont="1" applyFill="1" applyBorder="1" applyAlignment="1">
      <alignment horizontal="center" vertical="center"/>
    </xf>
    <xf numFmtId="0" fontId="23" fillId="18" borderId="20" xfId="0" applyFont="1" applyFill="1" applyBorder="1" applyAlignment="1">
      <alignment horizontal="center" vertical="center"/>
    </xf>
    <xf numFmtId="0" fontId="23" fillId="18" borderId="21" xfId="0" applyFont="1" applyFill="1" applyBorder="1" applyAlignment="1">
      <alignment horizontal="center" vertical="center"/>
    </xf>
    <xf numFmtId="166" fontId="26" fillId="14" borderId="19" xfId="0" applyNumberFormat="1" applyFont="1" applyFill="1" applyBorder="1" applyAlignment="1">
      <alignment horizontal="center"/>
    </xf>
    <xf numFmtId="166" fontId="26" fillId="14" borderId="20" xfId="0" applyNumberFormat="1" applyFont="1" applyFill="1" applyBorder="1" applyAlignment="1">
      <alignment horizontal="center"/>
    </xf>
    <xf numFmtId="166" fontId="26" fillId="14" borderId="21" xfId="0" applyNumberFormat="1" applyFont="1" applyFill="1" applyBorder="1" applyAlignment="1">
      <alignment horizontal="center"/>
    </xf>
    <xf numFmtId="0" fontId="26" fillId="20" borderId="19" xfId="0" applyFont="1" applyFill="1" applyBorder="1" applyAlignment="1">
      <alignment horizontal="center"/>
    </xf>
    <xf numFmtId="0" fontId="26" fillId="20" borderId="20" xfId="0" applyFont="1" applyFill="1" applyBorder="1" applyAlignment="1">
      <alignment horizontal="center"/>
    </xf>
    <xf numFmtId="0" fontId="26" fillId="20" borderId="21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22" fillId="18" borderId="19" xfId="0" applyFont="1" applyFill="1" applyBorder="1" applyAlignment="1">
      <alignment horizontal="center" vertical="center"/>
    </xf>
    <xf numFmtId="0" fontId="22" fillId="18" borderId="20" xfId="0" applyFont="1" applyFill="1" applyBorder="1" applyAlignment="1">
      <alignment horizontal="center" vertical="center"/>
    </xf>
    <xf numFmtId="0" fontId="22" fillId="18" borderId="21" xfId="0" applyFont="1" applyFill="1" applyBorder="1" applyAlignment="1">
      <alignment horizontal="center" vertical="center"/>
    </xf>
    <xf numFmtId="0" fontId="2" fillId="2" borderId="0" xfId="0" applyFont="1" applyFill="1"/>
    <xf numFmtId="0" fontId="0" fillId="0" borderId="0" xfId="0"/>
    <xf numFmtId="0" fontId="2" fillId="23" borderId="25" xfId="0" applyFont="1" applyFill="1" applyBorder="1" applyAlignment="1">
      <alignment wrapText="1"/>
    </xf>
    <xf numFmtId="0" fontId="13" fillId="23" borderId="25" xfId="0" applyFont="1" applyFill="1" applyBorder="1" applyAlignment="1">
      <alignment wrapText="1"/>
    </xf>
    <xf numFmtId="0" fontId="2" fillId="23" borderId="25" xfId="0" applyFont="1" applyFill="1" applyBorder="1" applyAlignment="1">
      <alignment horizontal="right" wrapText="1"/>
    </xf>
    <xf numFmtId="0" fontId="13" fillId="0" borderId="25" xfId="0" applyFont="1" applyBorder="1" applyAlignment="1">
      <alignment wrapText="1"/>
    </xf>
    <xf numFmtId="0" fontId="2" fillId="0" borderId="25" xfId="0" applyFont="1" applyBorder="1" applyAlignment="1">
      <alignment wrapText="1"/>
    </xf>
    <xf numFmtId="0" fontId="2" fillId="0" borderId="25" xfId="0" applyFont="1" applyBorder="1" applyAlignment="1">
      <alignment horizontal="right" wrapText="1"/>
    </xf>
    <xf numFmtId="3" fontId="2" fillId="14" borderId="25" xfId="0" applyNumberFormat="1" applyFont="1" applyFill="1" applyBorder="1" applyAlignment="1">
      <alignment horizontal="right" wrapText="1"/>
    </xf>
    <xf numFmtId="3" fontId="10" fillId="24" borderId="25" xfId="0" applyNumberFormat="1" applyFont="1" applyFill="1" applyBorder="1" applyAlignment="1">
      <alignment horizontal="right" wrapText="1"/>
    </xf>
    <xf numFmtId="0" fontId="2" fillId="25" borderId="25" xfId="0" applyFont="1" applyFill="1" applyBorder="1" applyAlignment="1">
      <alignment wrapText="1"/>
    </xf>
    <xf numFmtId="0" fontId="13" fillId="25" borderId="25" xfId="0" applyFont="1" applyFill="1" applyBorder="1" applyAlignment="1">
      <alignment wrapText="1"/>
    </xf>
    <xf numFmtId="0" fontId="2" fillId="25" borderId="25" xfId="0" applyFont="1" applyFill="1" applyBorder="1" applyAlignment="1">
      <alignment horizontal="right" wrapText="1"/>
    </xf>
    <xf numFmtId="0" fontId="13" fillId="0" borderId="0" xfId="0" applyFont="1" applyBorder="1" applyAlignment="1">
      <alignment wrapText="1"/>
    </xf>
    <xf numFmtId="0" fontId="2" fillId="0" borderId="0" xfId="0" applyFont="1" applyBorder="1" applyAlignment="1">
      <alignment horizontal="right" wrapText="1"/>
    </xf>
    <xf numFmtId="4" fontId="2" fillId="0" borderId="25" xfId="0" applyNumberFormat="1" applyFont="1" applyBorder="1" applyAlignment="1">
      <alignment horizontal="right" wrapText="1"/>
    </xf>
    <xf numFmtId="0" fontId="4" fillId="26" borderId="25" xfId="0" applyFont="1" applyFill="1" applyBorder="1" applyAlignment="1">
      <alignment wrapText="1"/>
    </xf>
    <xf numFmtId="0" fontId="2" fillId="27" borderId="25" xfId="0" applyFont="1" applyFill="1" applyBorder="1" applyAlignment="1">
      <alignment wrapText="1"/>
    </xf>
    <xf numFmtId="0" fontId="2" fillId="14" borderId="25" xfId="0" applyFont="1" applyFill="1" applyBorder="1" applyAlignment="1">
      <alignment horizontal="center" wrapText="1"/>
    </xf>
    <xf numFmtId="0" fontId="2" fillId="25" borderId="25" xfId="0" applyFont="1" applyFill="1" applyBorder="1" applyAlignment="1">
      <alignment horizontal="center" wrapText="1"/>
    </xf>
    <xf numFmtId="0" fontId="2" fillId="0" borderId="25" xfId="0" applyFont="1" applyBorder="1" applyAlignment="1">
      <alignment horizontal="center" wrapText="1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>
      <alignment horizontal="center" wrapText="1"/>
    </xf>
    <xf numFmtId="0" fontId="2" fillId="14" borderId="25" xfId="0" applyFont="1" applyFill="1" applyBorder="1" applyAlignment="1">
      <alignment horizontal="right" wrapText="1"/>
    </xf>
    <xf numFmtId="0" fontId="2" fillId="0" borderId="25" xfId="0" applyFont="1" applyBorder="1" applyAlignment="1">
      <alignment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4"/>
  <sheetViews>
    <sheetView zoomScaleNormal="100" zoomScaleSheetLayoutView="96" workbookViewId="0">
      <selection activeCell="P13" sqref="P13"/>
    </sheetView>
  </sheetViews>
  <sheetFormatPr defaultColWidth="14.453125" defaultRowHeight="12.5" x14ac:dyDescent="0.25"/>
  <cols>
    <col min="1" max="1" width="31.26953125" customWidth="1"/>
    <col min="2" max="2" width="39.7265625" bestFit="1" customWidth="1"/>
    <col min="3" max="3" width="6.1796875" bestFit="1" customWidth="1"/>
    <col min="4" max="4" width="7.453125" customWidth="1"/>
    <col min="5" max="8" width="4.7265625" customWidth="1"/>
    <col min="9" max="11" width="13.7265625" customWidth="1"/>
    <col min="12" max="12" width="6.81640625" customWidth="1"/>
    <col min="13" max="13" width="29.1796875" customWidth="1"/>
    <col min="14" max="14" width="9.81640625" customWidth="1"/>
    <col min="15" max="15" width="22.453125" customWidth="1"/>
    <col min="16" max="16" width="19.54296875" bestFit="1" customWidth="1"/>
  </cols>
  <sheetData>
    <row r="1" spans="1:15" ht="15.5" x14ac:dyDescent="0.35">
      <c r="A1" s="3" t="s">
        <v>1</v>
      </c>
      <c r="B1" s="140"/>
      <c r="C1" s="141"/>
      <c r="D1" s="141"/>
      <c r="E1" s="141"/>
      <c r="F1" s="141"/>
      <c r="G1" s="141"/>
      <c r="H1" s="142"/>
      <c r="I1" s="142"/>
      <c r="J1" s="142"/>
      <c r="K1" s="143"/>
      <c r="L1" s="5"/>
      <c r="M1" s="7" t="s">
        <v>6</v>
      </c>
      <c r="N1" s="9"/>
      <c r="O1" s="107">
        <f>SUM(O2:O7)</f>
        <v>152763.4375</v>
      </c>
    </row>
    <row r="2" spans="1:15" ht="14.5" x14ac:dyDescent="0.35">
      <c r="A2" s="3" t="s">
        <v>9</v>
      </c>
      <c r="B2" s="144"/>
      <c r="C2" s="141"/>
      <c r="D2" s="141"/>
      <c r="E2" s="141"/>
      <c r="F2" s="141"/>
      <c r="G2" s="141"/>
      <c r="H2" s="142"/>
      <c r="I2" s="142"/>
      <c r="J2" s="142"/>
      <c r="K2" s="143"/>
      <c r="L2" s="5"/>
      <c r="M2" s="13" t="s">
        <v>12</v>
      </c>
      <c r="N2" s="14"/>
      <c r="O2" s="108">
        <f>K26</f>
        <v>67200</v>
      </c>
    </row>
    <row r="3" spans="1:15" ht="14.5" x14ac:dyDescent="0.35">
      <c r="A3" s="3" t="s">
        <v>13</v>
      </c>
      <c r="B3" s="144"/>
      <c r="C3" s="141"/>
      <c r="D3" s="141"/>
      <c r="E3" s="141"/>
      <c r="F3" s="141"/>
      <c r="G3" s="141"/>
      <c r="H3" s="142"/>
      <c r="I3" s="142"/>
      <c r="J3" s="142"/>
      <c r="K3" s="143"/>
      <c r="L3" s="5"/>
      <c r="M3" s="13" t="s">
        <v>15</v>
      </c>
      <c r="N3" s="14"/>
      <c r="O3" s="108">
        <f>K38</f>
        <v>57807.291666666664</v>
      </c>
    </row>
    <row r="4" spans="1:15" ht="14.5" x14ac:dyDescent="0.35">
      <c r="A4" s="3" t="s">
        <v>16</v>
      </c>
      <c r="B4" s="145"/>
      <c r="C4" s="141"/>
      <c r="D4" s="141"/>
      <c r="E4" s="141"/>
      <c r="F4" s="141"/>
      <c r="G4" s="141"/>
      <c r="H4" s="142"/>
      <c r="I4" s="142"/>
      <c r="J4" s="142"/>
      <c r="K4" s="143"/>
      <c r="L4" s="5"/>
      <c r="M4" s="16" t="s">
        <v>18</v>
      </c>
      <c r="N4" s="14"/>
      <c r="O4" s="108">
        <f>K51</f>
        <v>0</v>
      </c>
    </row>
    <row r="5" spans="1:15" ht="14.5" x14ac:dyDescent="0.35">
      <c r="A5" s="3" t="s">
        <v>19</v>
      </c>
      <c r="B5" s="145"/>
      <c r="C5" s="141"/>
      <c r="D5" s="141"/>
      <c r="E5" s="141"/>
      <c r="F5" s="141"/>
      <c r="G5" s="141"/>
      <c r="H5" s="142"/>
      <c r="I5" s="142"/>
      <c r="J5" s="142"/>
      <c r="K5" s="143"/>
      <c r="L5" s="5"/>
      <c r="M5" s="13" t="s">
        <v>21</v>
      </c>
      <c r="N5" s="14"/>
      <c r="O5" s="108">
        <f>K65</f>
        <v>27756.145833333332</v>
      </c>
    </row>
    <row r="6" spans="1:15" ht="14.5" x14ac:dyDescent="0.35">
      <c r="A6" s="3" t="s">
        <v>22</v>
      </c>
      <c r="B6" s="145"/>
      <c r="C6" s="141"/>
      <c r="D6" s="141"/>
      <c r="E6" s="141"/>
      <c r="F6" s="141"/>
      <c r="G6" s="141"/>
      <c r="H6" s="142"/>
      <c r="I6" s="142"/>
      <c r="J6" s="142"/>
      <c r="K6" s="143"/>
      <c r="L6" s="5"/>
      <c r="M6" s="13" t="s">
        <v>25</v>
      </c>
      <c r="N6" s="14"/>
      <c r="O6" s="108">
        <f>K103</f>
        <v>0</v>
      </c>
    </row>
    <row r="7" spans="1:15" ht="14.5" x14ac:dyDescent="0.35">
      <c r="A7" s="3" t="s">
        <v>24</v>
      </c>
      <c r="B7" s="145"/>
      <c r="C7" s="141"/>
      <c r="D7" s="141"/>
      <c r="E7" s="141"/>
      <c r="F7" s="141"/>
      <c r="G7" s="141"/>
      <c r="H7" s="142"/>
      <c r="I7" s="142"/>
      <c r="J7" s="142"/>
      <c r="K7" s="143"/>
      <c r="L7" s="5"/>
      <c r="M7" s="13" t="s">
        <v>27</v>
      </c>
      <c r="N7" s="14"/>
      <c r="O7" s="108">
        <f>K121</f>
        <v>0</v>
      </c>
    </row>
    <row r="8" spans="1:15" ht="14.5" x14ac:dyDescent="0.35">
      <c r="A8" s="3" t="s">
        <v>22</v>
      </c>
      <c r="B8" s="145"/>
      <c r="C8" s="141"/>
      <c r="D8" s="141"/>
      <c r="E8" s="141"/>
      <c r="F8" s="141"/>
      <c r="G8" s="141"/>
      <c r="H8" s="142"/>
      <c r="I8" s="142"/>
      <c r="J8" s="142"/>
      <c r="K8" s="143"/>
      <c r="L8" s="5"/>
      <c r="M8" s="7" t="s">
        <v>31</v>
      </c>
      <c r="N8" s="36">
        <v>0.5</v>
      </c>
      <c r="O8" s="108">
        <f>N8*O1</f>
        <v>76381.71875</v>
      </c>
    </row>
    <row r="9" spans="1:15" ht="16.5" x14ac:dyDescent="0.55000000000000004">
      <c r="A9" s="17" t="s">
        <v>35</v>
      </c>
      <c r="B9" s="145"/>
      <c r="C9" s="141"/>
      <c r="D9" s="141"/>
      <c r="E9" s="141"/>
      <c r="F9" s="141"/>
      <c r="G9" s="141"/>
      <c r="H9" s="142"/>
      <c r="I9" s="142"/>
      <c r="J9" s="142"/>
      <c r="K9" s="143"/>
      <c r="L9" s="5"/>
      <c r="M9" s="7" t="s">
        <v>37</v>
      </c>
      <c r="N9" s="18">
        <v>0.5</v>
      </c>
      <c r="O9" s="109">
        <f>N9*O1</f>
        <v>76381.71875</v>
      </c>
    </row>
    <row r="10" spans="1:15" ht="15.5" x14ac:dyDescent="0.35">
      <c r="A10" s="3" t="s">
        <v>40</v>
      </c>
      <c r="B10" s="145"/>
      <c r="C10" s="141"/>
      <c r="D10" s="141"/>
      <c r="E10" s="141"/>
      <c r="F10" s="141"/>
      <c r="G10" s="141"/>
      <c r="H10" s="142"/>
      <c r="I10" s="142"/>
      <c r="J10" s="142"/>
      <c r="K10" s="143"/>
      <c r="L10" s="5"/>
      <c r="M10" s="7" t="s">
        <v>41</v>
      </c>
      <c r="N10" s="14"/>
      <c r="O10" s="107">
        <f>O1+O8+O9</f>
        <v>305526.875</v>
      </c>
    </row>
    <row r="11" spans="1:15" ht="14.5" x14ac:dyDescent="0.35">
      <c r="A11" s="125" t="s">
        <v>42</v>
      </c>
      <c r="B11" s="128"/>
      <c r="C11" s="129"/>
      <c r="D11" s="129"/>
      <c r="E11" s="129"/>
      <c r="F11" s="129"/>
      <c r="G11" s="129"/>
      <c r="H11" s="130"/>
      <c r="I11" s="130"/>
      <c r="J11" s="130"/>
      <c r="K11" s="131"/>
      <c r="L11" s="5"/>
      <c r="M11" s="13" t="s">
        <v>44</v>
      </c>
      <c r="N11" s="18">
        <v>0</v>
      </c>
      <c r="O11" s="108">
        <f>N11*O10</f>
        <v>0</v>
      </c>
    </row>
    <row r="12" spans="1:15" ht="14.5" x14ac:dyDescent="0.35">
      <c r="A12" s="126"/>
      <c r="B12" s="132"/>
      <c r="C12" s="133"/>
      <c r="D12" s="133"/>
      <c r="E12" s="133"/>
      <c r="F12" s="133"/>
      <c r="G12" s="133"/>
      <c r="H12" s="134"/>
      <c r="I12" s="134"/>
      <c r="J12" s="134"/>
      <c r="K12" s="135"/>
      <c r="L12" s="5"/>
      <c r="M12" s="13" t="s">
        <v>46</v>
      </c>
      <c r="N12" s="18">
        <v>0.05</v>
      </c>
      <c r="O12" s="108">
        <f>N12*O10</f>
        <v>15276.34375</v>
      </c>
    </row>
    <row r="13" spans="1:15" ht="18.5" x14ac:dyDescent="0.45">
      <c r="A13" s="126"/>
      <c r="B13" s="132"/>
      <c r="C13" s="133"/>
      <c r="D13" s="133"/>
      <c r="E13" s="133"/>
      <c r="F13" s="133"/>
      <c r="G13" s="133"/>
      <c r="H13" s="134"/>
      <c r="I13" s="134"/>
      <c r="J13" s="134"/>
      <c r="K13" s="135"/>
      <c r="L13" s="5"/>
      <c r="M13" s="7" t="s">
        <v>47</v>
      </c>
      <c r="N13" s="20"/>
      <c r="O13" s="110">
        <f>SUM(O10:O12)</f>
        <v>320803.21875</v>
      </c>
    </row>
    <row r="14" spans="1:15" ht="14.5" x14ac:dyDescent="0.35">
      <c r="A14" s="126"/>
      <c r="B14" s="132"/>
      <c r="C14" s="133"/>
      <c r="D14" s="133"/>
      <c r="E14" s="133"/>
      <c r="F14" s="133"/>
      <c r="G14" s="133"/>
      <c r="H14" s="134"/>
      <c r="I14" s="134"/>
      <c r="J14" s="134"/>
      <c r="K14" s="135"/>
      <c r="L14" s="5"/>
      <c r="M14" s="13" t="s">
        <v>50</v>
      </c>
      <c r="N14" s="22">
        <v>4</v>
      </c>
      <c r="O14" s="111"/>
    </row>
    <row r="15" spans="1:15" ht="18.5" x14ac:dyDescent="0.45">
      <c r="A15" s="126"/>
      <c r="B15" s="132"/>
      <c r="C15" s="133"/>
      <c r="D15" s="133"/>
      <c r="E15" s="133"/>
      <c r="F15" s="133"/>
      <c r="G15" s="133"/>
      <c r="H15" s="134"/>
      <c r="I15" s="134"/>
      <c r="J15" s="134"/>
      <c r="K15" s="135"/>
      <c r="L15" s="5"/>
      <c r="M15" s="7" t="s">
        <v>52</v>
      </c>
      <c r="N15" s="24" t="b">
        <v>1</v>
      </c>
      <c r="O15" s="110">
        <f>IF(N15=TRUE,ROUNDDOWN(O13,-N14),O13)</f>
        <v>320000</v>
      </c>
    </row>
    <row r="16" spans="1:15" ht="18.5" x14ac:dyDescent="0.45">
      <c r="A16" s="127"/>
      <c r="B16" s="136"/>
      <c r="C16" s="137"/>
      <c r="D16" s="137"/>
      <c r="E16" s="137"/>
      <c r="F16" s="137"/>
      <c r="G16" s="137"/>
      <c r="H16" s="138"/>
      <c r="I16" s="138"/>
      <c r="J16" s="138"/>
      <c r="K16" s="139"/>
      <c r="L16" s="5"/>
      <c r="M16" s="23" t="s">
        <v>58</v>
      </c>
      <c r="N16" s="24" t="b">
        <v>0</v>
      </c>
      <c r="O16" s="110">
        <f>IF(N16=TRUE,O15*10%,0)</f>
        <v>0</v>
      </c>
    </row>
    <row r="17" spans="1:16" ht="15.75" customHeight="1" x14ac:dyDescent="0.45">
      <c r="A17" s="25"/>
      <c r="B17" s="25"/>
      <c r="C17" s="59"/>
      <c r="D17" s="25"/>
      <c r="E17" s="25"/>
      <c r="F17" s="25"/>
      <c r="G17" s="25"/>
      <c r="H17" s="25"/>
      <c r="I17" s="26"/>
      <c r="J17" s="26"/>
      <c r="K17" s="26"/>
      <c r="L17" s="5"/>
      <c r="M17" s="7" t="s">
        <v>61</v>
      </c>
      <c r="N17" s="27"/>
      <c r="O17" s="112">
        <f>SUM(O15:O16)</f>
        <v>320000</v>
      </c>
      <c r="P17" s="60"/>
    </row>
    <row r="18" spans="1:16" ht="14.5" x14ac:dyDescent="0.35">
      <c r="A18" s="29" t="s">
        <v>63</v>
      </c>
      <c r="B18" s="25"/>
      <c r="C18" s="59"/>
      <c r="D18" s="25"/>
      <c r="E18" s="25"/>
      <c r="F18" s="25"/>
      <c r="G18" s="25"/>
      <c r="H18" s="29"/>
      <c r="I18" s="30"/>
      <c r="J18" s="30"/>
      <c r="K18" s="30"/>
      <c r="L18" s="5"/>
      <c r="N18" s="31"/>
    </row>
    <row r="19" spans="1:16" ht="15.75" customHeight="1" x14ac:dyDescent="0.35">
      <c r="A19" s="32" t="s">
        <v>64</v>
      </c>
      <c r="B19" s="25"/>
      <c r="C19" s="59"/>
      <c r="D19" s="25"/>
      <c r="E19" s="25"/>
      <c r="F19" s="25"/>
      <c r="G19" s="25"/>
      <c r="H19" s="32"/>
      <c r="I19" s="33"/>
      <c r="J19" s="33"/>
      <c r="K19" s="33"/>
      <c r="L19" s="5"/>
      <c r="M19" s="61" t="s">
        <v>221</v>
      </c>
      <c r="N19" s="148" t="s">
        <v>343</v>
      </c>
      <c r="O19" s="148"/>
    </row>
    <row r="20" spans="1:16" ht="15.75" customHeight="1" x14ac:dyDescent="0.35">
      <c r="A20" s="5" t="s">
        <v>70</v>
      </c>
      <c r="B20" s="5"/>
      <c r="C20" s="38">
        <v>16</v>
      </c>
      <c r="D20" s="5" t="s">
        <v>71</v>
      </c>
      <c r="E20" s="5"/>
      <c r="F20" s="5"/>
      <c r="G20" s="5"/>
      <c r="H20" s="5"/>
      <c r="I20" s="6"/>
      <c r="J20" s="6"/>
      <c r="K20" s="6"/>
      <c r="L20" s="5"/>
      <c r="M20" s="62" t="s">
        <v>222</v>
      </c>
      <c r="N20" s="149" t="s">
        <v>344</v>
      </c>
      <c r="O20" s="150"/>
    </row>
    <row r="21" spans="1:16" ht="15.75" customHeight="1" x14ac:dyDescent="0.35">
      <c r="A21" s="5" t="s">
        <v>73</v>
      </c>
      <c r="B21" s="5"/>
      <c r="C21" s="38">
        <f>C20*2</f>
        <v>32</v>
      </c>
      <c r="D21" s="5" t="s">
        <v>71</v>
      </c>
      <c r="E21" s="5"/>
      <c r="F21" s="5"/>
      <c r="G21" s="5"/>
      <c r="H21" s="5"/>
      <c r="I21" s="6"/>
      <c r="J21" s="6"/>
      <c r="K21" s="6"/>
      <c r="L21" s="5"/>
      <c r="M21" s="62" t="s">
        <v>40</v>
      </c>
      <c r="N21" s="149" t="s">
        <v>345</v>
      </c>
      <c r="O21" s="150"/>
    </row>
    <row r="22" spans="1:16" ht="15.75" customHeight="1" x14ac:dyDescent="0.35">
      <c r="A22" s="5" t="s">
        <v>76</v>
      </c>
      <c r="B22" s="5"/>
      <c r="C22" s="38"/>
      <c r="D22" s="5" t="s">
        <v>75</v>
      </c>
      <c r="E22" s="5"/>
      <c r="F22" s="5"/>
      <c r="G22" s="5"/>
      <c r="H22" s="5"/>
      <c r="I22" s="6"/>
      <c r="J22" s="6"/>
      <c r="K22" s="6"/>
      <c r="L22" s="5"/>
      <c r="M22" s="62" t="s">
        <v>223</v>
      </c>
      <c r="N22" s="151">
        <f>Cost!F50</f>
        <v>26400</v>
      </c>
      <c r="O22" s="151"/>
    </row>
    <row r="23" spans="1:16" ht="15.75" customHeight="1" x14ac:dyDescent="0.35">
      <c r="A23" s="5" t="s">
        <v>77</v>
      </c>
      <c r="B23" s="5" t="s">
        <v>79</v>
      </c>
      <c r="C23" s="38" t="b">
        <v>1</v>
      </c>
      <c r="D23" s="5" t="s">
        <v>80</v>
      </c>
      <c r="E23" s="5"/>
      <c r="F23" s="5"/>
      <c r="G23" s="5"/>
      <c r="H23" s="5"/>
      <c r="I23" s="6"/>
      <c r="J23" s="6"/>
      <c r="K23" s="6"/>
      <c r="L23" s="5"/>
      <c r="M23" s="62" t="s">
        <v>136</v>
      </c>
      <c r="N23" s="146"/>
      <c r="O23" s="147"/>
    </row>
    <row r="24" spans="1:16" ht="15.75" customHeight="1" x14ac:dyDescent="0.35">
      <c r="A24" s="5"/>
      <c r="B24" s="5" t="s">
        <v>82</v>
      </c>
      <c r="C24" s="38" t="b">
        <v>1</v>
      </c>
      <c r="D24" s="5" t="s">
        <v>80</v>
      </c>
      <c r="E24" s="5"/>
      <c r="F24" s="5"/>
      <c r="G24" s="5"/>
      <c r="H24" s="5"/>
      <c r="I24" s="6"/>
      <c r="J24" s="6"/>
      <c r="K24" s="6"/>
      <c r="L24" s="5"/>
      <c r="M24" s="62" t="s">
        <v>224</v>
      </c>
      <c r="N24" s="146" t="s">
        <v>346</v>
      </c>
      <c r="O24" s="147"/>
    </row>
    <row r="25" spans="1:16" ht="14.5" x14ac:dyDescent="0.35">
      <c r="A25" s="40" t="s">
        <v>84</v>
      </c>
      <c r="B25" s="25"/>
      <c r="C25" s="59"/>
      <c r="D25" s="25"/>
      <c r="E25" s="25"/>
      <c r="F25" s="25"/>
      <c r="G25" s="25"/>
      <c r="H25" s="40"/>
      <c r="I25" s="41"/>
      <c r="J25" s="41"/>
      <c r="K25" s="41"/>
      <c r="L25" s="5"/>
      <c r="M25" s="5"/>
      <c r="N25" s="42"/>
      <c r="O25" s="43"/>
    </row>
    <row r="26" spans="1:16" ht="14.5" x14ac:dyDescent="0.35">
      <c r="A26" s="44" t="s">
        <v>12</v>
      </c>
      <c r="B26" s="25" t="s">
        <v>91</v>
      </c>
      <c r="C26" s="59"/>
      <c r="D26" s="25"/>
      <c r="E26" s="25"/>
      <c r="F26" s="25"/>
      <c r="G26" s="25"/>
      <c r="H26" s="44"/>
      <c r="I26" s="45" t="s">
        <v>92</v>
      </c>
      <c r="J26" s="45"/>
      <c r="K26" s="45">
        <f>SUM(J27:J34)</f>
        <v>67200</v>
      </c>
      <c r="L26" s="5"/>
      <c r="M26" s="5"/>
      <c r="N26" s="42"/>
      <c r="O26" s="8"/>
    </row>
    <row r="27" spans="1:16" ht="14.5" x14ac:dyDescent="0.35">
      <c r="A27" s="5" t="s">
        <v>93</v>
      </c>
      <c r="B27" s="5" t="s">
        <v>94</v>
      </c>
      <c r="C27" s="38">
        <v>0</v>
      </c>
      <c r="D27" s="5" t="s">
        <v>95</v>
      </c>
      <c r="E27" s="38">
        <f>C21</f>
        <v>32</v>
      </c>
      <c r="F27" s="5" t="s">
        <v>11</v>
      </c>
      <c r="G27" s="5"/>
      <c r="H27" s="5"/>
      <c r="I27" s="6">
        <f>'PH Umum 2024'!F1</f>
        <v>2100</v>
      </c>
      <c r="J27" s="6">
        <f t="shared" ref="J27:J34" si="0">C27*E27*I27</f>
        <v>0</v>
      </c>
      <c r="K27" s="6"/>
      <c r="L27" s="5"/>
      <c r="M27" s="5"/>
      <c r="N27" s="38"/>
      <c r="O27" s="6"/>
    </row>
    <row r="28" spans="1:16" ht="14.5" x14ac:dyDescent="0.35">
      <c r="A28" s="5"/>
      <c r="B28" s="5" t="s">
        <v>17</v>
      </c>
      <c r="C28" s="38">
        <v>0</v>
      </c>
      <c r="D28" s="5" t="s">
        <v>95</v>
      </c>
      <c r="E28" s="38">
        <f>C21</f>
        <v>32</v>
      </c>
      <c r="F28" s="5" t="s">
        <v>11</v>
      </c>
      <c r="G28" s="5"/>
      <c r="H28" s="5"/>
      <c r="I28" s="6">
        <f>'PH Umum 2024'!F13</f>
        <v>600</v>
      </c>
      <c r="J28" s="6">
        <f t="shared" si="0"/>
        <v>0</v>
      </c>
      <c r="K28" s="6"/>
      <c r="L28" s="5"/>
      <c r="M28" s="5"/>
      <c r="N28" s="42"/>
      <c r="O28" s="43"/>
    </row>
    <row r="29" spans="1:16" ht="14.5" x14ac:dyDescent="0.35">
      <c r="A29" s="5" t="s">
        <v>96</v>
      </c>
      <c r="B29" s="5" t="s">
        <v>94</v>
      </c>
      <c r="C29" s="38">
        <v>1</v>
      </c>
      <c r="D29" s="5" t="s">
        <v>95</v>
      </c>
      <c r="E29" s="38">
        <f>C21</f>
        <v>32</v>
      </c>
      <c r="F29" s="5" t="s">
        <v>11</v>
      </c>
      <c r="G29" s="5"/>
      <c r="H29" s="5"/>
      <c r="I29" s="6">
        <f>'PH Umum 2024'!F1</f>
        <v>2100</v>
      </c>
      <c r="J29" s="6">
        <f t="shared" si="0"/>
        <v>67200</v>
      </c>
      <c r="K29" s="6"/>
      <c r="L29" s="5"/>
      <c r="M29" s="5"/>
      <c r="N29" s="38"/>
      <c r="O29" s="8"/>
    </row>
    <row r="30" spans="1:16" ht="14.5" x14ac:dyDescent="0.35">
      <c r="A30" s="5"/>
      <c r="B30" s="5" t="s">
        <v>17</v>
      </c>
      <c r="C30" s="38">
        <v>0</v>
      </c>
      <c r="D30" s="5" t="s">
        <v>95</v>
      </c>
      <c r="E30" s="38">
        <f>C21</f>
        <v>32</v>
      </c>
      <c r="F30" s="5" t="s">
        <v>11</v>
      </c>
      <c r="G30" s="5"/>
      <c r="H30" s="5"/>
      <c r="I30" s="6">
        <f>'PH Umum 2024'!F13</f>
        <v>600</v>
      </c>
      <c r="J30" s="6">
        <f t="shared" si="0"/>
        <v>0</v>
      </c>
      <c r="K30" s="6"/>
      <c r="L30" s="5"/>
      <c r="M30" s="5"/>
      <c r="N30" s="38"/>
      <c r="O30" s="6"/>
    </row>
    <row r="31" spans="1:16" ht="14.5" x14ac:dyDescent="0.35">
      <c r="A31" s="5" t="s">
        <v>98</v>
      </c>
      <c r="B31" s="5" t="s">
        <v>94</v>
      </c>
      <c r="C31" s="38">
        <v>0</v>
      </c>
      <c r="D31" s="5" t="s">
        <v>95</v>
      </c>
      <c r="E31" s="38">
        <f>C21</f>
        <v>32</v>
      </c>
      <c r="F31" s="5" t="s">
        <v>11</v>
      </c>
      <c r="G31" s="5"/>
      <c r="H31" s="5"/>
      <c r="I31" s="6">
        <f>'PH Umum 2024'!F1</f>
        <v>2100</v>
      </c>
      <c r="J31" s="6">
        <f t="shared" si="0"/>
        <v>0</v>
      </c>
      <c r="K31" s="6"/>
      <c r="L31" s="5"/>
      <c r="M31" s="5"/>
      <c r="N31" s="42"/>
      <c r="O31" s="43"/>
    </row>
    <row r="32" spans="1:16" ht="14.5" x14ac:dyDescent="0.35">
      <c r="A32" s="5"/>
      <c r="B32" s="5" t="s">
        <v>17</v>
      </c>
      <c r="C32" s="38">
        <v>0</v>
      </c>
      <c r="D32" s="5" t="s">
        <v>95</v>
      </c>
      <c r="E32" s="38">
        <f>C21</f>
        <v>32</v>
      </c>
      <c r="F32" s="5" t="s">
        <v>11</v>
      </c>
      <c r="G32" s="5"/>
      <c r="H32" s="5"/>
      <c r="I32" s="6">
        <f>'PH Umum 2024'!F13</f>
        <v>600</v>
      </c>
      <c r="J32" s="6">
        <f t="shared" si="0"/>
        <v>0</v>
      </c>
      <c r="K32" s="6"/>
      <c r="L32" s="5"/>
      <c r="M32" s="5"/>
      <c r="N32" s="38"/>
      <c r="O32" s="8"/>
    </row>
    <row r="33" spans="1:15" ht="14.5" x14ac:dyDescent="0.35">
      <c r="A33" s="5" t="s">
        <v>99</v>
      </c>
      <c r="B33" s="5" t="s">
        <v>94</v>
      </c>
      <c r="C33" s="38">
        <v>0</v>
      </c>
      <c r="D33" s="5" t="s">
        <v>95</v>
      </c>
      <c r="E33" s="38">
        <f>C21</f>
        <v>32</v>
      </c>
      <c r="F33" s="5" t="s">
        <v>11</v>
      </c>
      <c r="G33" s="5"/>
      <c r="H33" s="5"/>
      <c r="I33" s="6">
        <f>'PH Umum 2024'!F1</f>
        <v>2100</v>
      </c>
      <c r="J33" s="6">
        <f t="shared" si="0"/>
        <v>0</v>
      </c>
      <c r="K33" s="6"/>
      <c r="L33" s="5"/>
      <c r="N33" s="31"/>
    </row>
    <row r="34" spans="1:15" ht="14.5" x14ac:dyDescent="0.35">
      <c r="A34" s="5"/>
      <c r="B34" s="5" t="s">
        <v>17</v>
      </c>
      <c r="C34" s="38">
        <v>0</v>
      </c>
      <c r="D34" s="5" t="s">
        <v>95</v>
      </c>
      <c r="E34" s="38">
        <f>C21</f>
        <v>32</v>
      </c>
      <c r="F34" s="5" t="s">
        <v>11</v>
      </c>
      <c r="G34" s="5"/>
      <c r="H34" s="5"/>
      <c r="I34" s="6">
        <f>'PH Umum 2024'!F13</f>
        <v>600</v>
      </c>
      <c r="J34" s="6">
        <f t="shared" si="0"/>
        <v>0</v>
      </c>
      <c r="K34" s="6"/>
      <c r="L34" s="5"/>
      <c r="N34" s="31"/>
    </row>
    <row r="35" spans="1:15" ht="14.5" x14ac:dyDescent="0.35">
      <c r="A35" s="5"/>
      <c r="B35" s="5"/>
      <c r="C35" s="38"/>
      <c r="D35" s="5"/>
      <c r="E35" s="5"/>
      <c r="F35" s="5"/>
      <c r="G35" s="5"/>
      <c r="H35" s="5"/>
      <c r="I35" s="6"/>
      <c r="J35" s="6"/>
      <c r="K35" s="6"/>
      <c r="L35" s="5"/>
      <c r="N35" s="31"/>
    </row>
    <row r="36" spans="1:15" ht="14.5" x14ac:dyDescent="0.35">
      <c r="A36" s="5"/>
      <c r="B36" s="5"/>
      <c r="C36" s="38"/>
      <c r="D36" s="5"/>
      <c r="E36" s="5"/>
      <c r="F36" s="5"/>
      <c r="G36" s="5"/>
      <c r="H36" s="5"/>
      <c r="I36" s="6"/>
      <c r="J36" s="6"/>
      <c r="K36" s="6"/>
      <c r="L36" s="5"/>
      <c r="N36" s="31"/>
    </row>
    <row r="37" spans="1:15" ht="14.5" x14ac:dyDescent="0.35">
      <c r="A37" s="5"/>
      <c r="B37" s="5"/>
      <c r="C37" s="38"/>
      <c r="D37" s="5"/>
      <c r="E37" s="5"/>
      <c r="F37" s="5"/>
      <c r="G37" s="5"/>
      <c r="H37" s="5"/>
      <c r="I37" s="6"/>
      <c r="J37" s="6"/>
      <c r="K37" s="6"/>
      <c r="L37" s="5"/>
      <c r="N37" s="31"/>
    </row>
    <row r="38" spans="1:15" ht="14.5" x14ac:dyDescent="0.35">
      <c r="A38" s="46" t="s">
        <v>15</v>
      </c>
      <c r="B38" s="5" t="s">
        <v>91</v>
      </c>
      <c r="C38" s="38"/>
      <c r="D38" s="5"/>
      <c r="E38" s="5"/>
      <c r="F38" s="5"/>
      <c r="G38" s="5"/>
      <c r="H38" s="46"/>
      <c r="I38" s="45" t="s">
        <v>92</v>
      </c>
      <c r="J38" s="45"/>
      <c r="K38" s="45">
        <f>SUM(J39:J47)</f>
        <v>57807.291666666664</v>
      </c>
      <c r="L38" s="5"/>
      <c r="N38" s="31"/>
    </row>
    <row r="39" spans="1:15" ht="14.5" x14ac:dyDescent="0.35">
      <c r="A39" s="5" t="s">
        <v>93</v>
      </c>
      <c r="B39" s="5" t="s">
        <v>94</v>
      </c>
      <c r="C39" s="38">
        <v>0</v>
      </c>
      <c r="D39" s="5" t="s">
        <v>95</v>
      </c>
      <c r="E39" s="38">
        <v>0</v>
      </c>
      <c r="F39" s="5" t="s">
        <v>100</v>
      </c>
      <c r="G39" s="38">
        <v>0</v>
      </c>
      <c r="H39" s="5" t="s">
        <v>49</v>
      </c>
      <c r="I39" s="6">
        <f>'PH Umum 2024'!F25</f>
        <v>29229.166666666668</v>
      </c>
      <c r="J39" s="6">
        <f t="shared" ref="J39:J46" si="1">C39*E39*G39*I39</f>
        <v>0</v>
      </c>
      <c r="K39" s="6"/>
      <c r="L39" s="5"/>
      <c r="N39" s="31"/>
    </row>
    <row r="40" spans="1:15" ht="14.5" x14ac:dyDescent="0.35">
      <c r="A40" s="5"/>
      <c r="B40" s="5" t="s">
        <v>17</v>
      </c>
      <c r="C40" s="38">
        <v>0</v>
      </c>
      <c r="D40" s="5" t="s">
        <v>95</v>
      </c>
      <c r="E40" s="38">
        <v>0</v>
      </c>
      <c r="F40" s="5" t="s">
        <v>100</v>
      </c>
      <c r="G40" s="38">
        <v>0</v>
      </c>
      <c r="H40" s="5" t="s">
        <v>49</v>
      </c>
      <c r="I40" s="6">
        <f>'PH Umum 2024'!F25</f>
        <v>29229.166666666668</v>
      </c>
      <c r="J40" s="6">
        <f t="shared" si="1"/>
        <v>0</v>
      </c>
      <c r="K40" s="6"/>
      <c r="L40" s="5"/>
      <c r="N40" s="31"/>
    </row>
    <row r="41" spans="1:15" ht="14.5" x14ac:dyDescent="0.35">
      <c r="A41" s="5" t="s">
        <v>96</v>
      </c>
      <c r="B41" s="5" t="s">
        <v>94</v>
      </c>
      <c r="C41" s="38">
        <v>1</v>
      </c>
      <c r="D41" s="5" t="s">
        <v>95</v>
      </c>
      <c r="E41" s="38">
        <v>1</v>
      </c>
      <c r="F41" s="5" t="s">
        <v>100</v>
      </c>
      <c r="G41" s="38">
        <v>2</v>
      </c>
      <c r="H41" s="5" t="s">
        <v>49</v>
      </c>
      <c r="I41" s="6">
        <f>'PH Umum 2024'!F37</f>
        <v>28903.645833333332</v>
      </c>
      <c r="J41" s="6">
        <f t="shared" si="1"/>
        <v>57807.291666666664</v>
      </c>
      <c r="K41" s="6"/>
      <c r="L41" s="5"/>
      <c r="N41" s="31"/>
    </row>
    <row r="42" spans="1:15" ht="14.5" x14ac:dyDescent="0.35">
      <c r="A42" s="5"/>
      <c r="B42" s="5" t="s">
        <v>17</v>
      </c>
      <c r="C42" s="38">
        <v>0</v>
      </c>
      <c r="D42" s="5" t="s">
        <v>95</v>
      </c>
      <c r="E42" s="38">
        <v>0</v>
      </c>
      <c r="F42" s="5" t="s">
        <v>100</v>
      </c>
      <c r="G42" s="38">
        <v>0</v>
      </c>
      <c r="H42" s="5" t="s">
        <v>49</v>
      </c>
      <c r="I42" s="6">
        <f>'PH Umum 2024'!F37</f>
        <v>28903.645833333332</v>
      </c>
      <c r="J42" s="6">
        <f t="shared" si="1"/>
        <v>0</v>
      </c>
      <c r="K42" s="6"/>
      <c r="L42" s="5"/>
      <c r="N42" s="31"/>
    </row>
    <row r="43" spans="1:15" ht="14.5" x14ac:dyDescent="0.35">
      <c r="A43" s="5" t="s">
        <v>98</v>
      </c>
      <c r="B43" s="5" t="s">
        <v>94</v>
      </c>
      <c r="C43" s="38">
        <v>0</v>
      </c>
      <c r="D43" s="5" t="s">
        <v>95</v>
      </c>
      <c r="E43" s="38">
        <v>0</v>
      </c>
      <c r="F43" s="5" t="s">
        <v>100</v>
      </c>
      <c r="G43" s="38">
        <v>0</v>
      </c>
      <c r="H43" s="5" t="s">
        <v>49</v>
      </c>
      <c r="I43" s="6">
        <f>'PH Umum 2024'!F49</f>
        <v>29451.822916666664</v>
      </c>
      <c r="J43" s="6">
        <f t="shared" si="1"/>
        <v>0</v>
      </c>
      <c r="K43" s="6"/>
      <c r="L43" s="5"/>
      <c r="N43" s="31"/>
    </row>
    <row r="44" spans="1:15" ht="14.5" x14ac:dyDescent="0.35">
      <c r="A44" s="5"/>
      <c r="B44" s="5" t="s">
        <v>17</v>
      </c>
      <c r="C44" s="38">
        <v>0</v>
      </c>
      <c r="D44" s="5" t="s">
        <v>95</v>
      </c>
      <c r="E44" s="38">
        <v>0</v>
      </c>
      <c r="F44" s="5" t="s">
        <v>100</v>
      </c>
      <c r="G44" s="38">
        <v>0</v>
      </c>
      <c r="H44" s="5" t="s">
        <v>49</v>
      </c>
      <c r="I44" s="6">
        <f>'PH Umum 2024'!F49</f>
        <v>29451.822916666664</v>
      </c>
      <c r="J44" s="6">
        <f t="shared" si="1"/>
        <v>0</v>
      </c>
      <c r="K44" s="6"/>
      <c r="L44" s="5"/>
      <c r="N44" s="31"/>
    </row>
    <row r="45" spans="1:15" ht="14.5" x14ac:dyDescent="0.35">
      <c r="A45" s="5" t="s">
        <v>99</v>
      </c>
      <c r="B45" s="5" t="s">
        <v>94</v>
      </c>
      <c r="C45" s="38">
        <v>0</v>
      </c>
      <c r="D45" s="5" t="s">
        <v>95</v>
      </c>
      <c r="E45" s="38">
        <v>0</v>
      </c>
      <c r="F45" s="5" t="s">
        <v>100</v>
      </c>
      <c r="G45" s="38">
        <v>0</v>
      </c>
      <c r="H45" s="5" t="s">
        <v>49</v>
      </c>
      <c r="I45" s="6">
        <f>'PH Umum 2024'!F61</f>
        <v>28945.3125</v>
      </c>
      <c r="J45" s="6">
        <f t="shared" si="1"/>
        <v>0</v>
      </c>
      <c r="K45" s="6"/>
      <c r="L45" s="5"/>
      <c r="N45" s="31"/>
    </row>
    <row r="46" spans="1:15" ht="14.5" x14ac:dyDescent="0.35">
      <c r="A46" s="5"/>
      <c r="B46" s="5" t="s">
        <v>17</v>
      </c>
      <c r="C46" s="38">
        <v>0</v>
      </c>
      <c r="D46" s="5" t="s">
        <v>95</v>
      </c>
      <c r="E46" s="38">
        <v>0</v>
      </c>
      <c r="F46" s="5" t="s">
        <v>100</v>
      </c>
      <c r="G46" s="38">
        <v>0</v>
      </c>
      <c r="H46" s="5" t="s">
        <v>49</v>
      </c>
      <c r="I46" s="6">
        <f>'PH Umum 2024'!F61</f>
        <v>28945.3125</v>
      </c>
      <c r="J46" s="6">
        <f t="shared" si="1"/>
        <v>0</v>
      </c>
      <c r="K46" s="6"/>
      <c r="L46" s="5"/>
      <c r="N46" s="31"/>
    </row>
    <row r="47" spans="1:15" ht="14.5" x14ac:dyDescent="0.35">
      <c r="A47" s="5" t="s">
        <v>53</v>
      </c>
      <c r="B47" s="5"/>
      <c r="C47" s="38"/>
      <c r="D47" s="5"/>
      <c r="E47" s="38">
        <v>0</v>
      </c>
      <c r="F47" s="5" t="s">
        <v>100</v>
      </c>
      <c r="G47" s="5"/>
      <c r="H47" s="5"/>
      <c r="I47" s="6">
        <f>'PH Umum 2024'!F73</f>
        <v>4500000</v>
      </c>
      <c r="J47" s="6">
        <f>E47*I47</f>
        <v>0</v>
      </c>
      <c r="K47" s="6"/>
      <c r="L47" s="5"/>
      <c r="M47" s="5"/>
      <c r="N47" s="38"/>
      <c r="O47" s="6"/>
    </row>
    <row r="48" spans="1:15" ht="14.5" x14ac:dyDescent="0.35">
      <c r="A48" s="5"/>
      <c r="B48" s="5"/>
      <c r="C48" s="38"/>
      <c r="D48" s="5"/>
      <c r="E48" s="5"/>
      <c r="F48" s="5"/>
      <c r="G48" s="5"/>
      <c r="H48" s="5"/>
      <c r="I48" s="6"/>
      <c r="J48" s="6"/>
      <c r="K48" s="6"/>
      <c r="L48" s="5"/>
      <c r="M48" s="5"/>
      <c r="N48" s="38"/>
      <c r="O48" s="6"/>
    </row>
    <row r="49" spans="1:15" ht="14.5" x14ac:dyDescent="0.35">
      <c r="A49" s="5"/>
      <c r="B49" s="5"/>
      <c r="C49" s="38"/>
      <c r="D49" s="5"/>
      <c r="E49" s="5"/>
      <c r="F49" s="5"/>
      <c r="G49" s="5"/>
      <c r="H49" s="5"/>
      <c r="I49" s="6"/>
      <c r="J49" s="6"/>
      <c r="K49" s="6"/>
      <c r="L49" s="5"/>
      <c r="M49" s="5"/>
      <c r="N49" s="38"/>
      <c r="O49" s="6"/>
    </row>
    <row r="50" spans="1:15" ht="14.5" x14ac:dyDescent="0.35">
      <c r="A50" s="5"/>
      <c r="B50" s="5"/>
      <c r="C50" s="38"/>
      <c r="D50" s="5"/>
      <c r="E50" s="5"/>
      <c r="F50" s="5"/>
      <c r="G50" s="5"/>
      <c r="H50" s="5"/>
      <c r="I50" s="6"/>
      <c r="J50" s="6"/>
      <c r="K50" s="6"/>
      <c r="L50" s="5"/>
      <c r="M50" s="5"/>
      <c r="N50" s="38"/>
      <c r="O50" s="6"/>
    </row>
    <row r="51" spans="1:15" ht="14.5" x14ac:dyDescent="0.35">
      <c r="A51" s="46" t="s">
        <v>18</v>
      </c>
      <c r="B51" s="5"/>
      <c r="C51" s="38"/>
      <c r="D51" s="5"/>
      <c r="E51" s="5"/>
      <c r="F51" s="5"/>
      <c r="G51" s="5"/>
      <c r="H51" s="46"/>
      <c r="I51" s="45" t="s">
        <v>92</v>
      </c>
      <c r="J51" s="45"/>
      <c r="K51" s="45">
        <f>SUM(J52:J59)</f>
        <v>0</v>
      </c>
      <c r="L51" s="5"/>
      <c r="M51" s="5"/>
      <c r="N51" s="38"/>
      <c r="O51" s="6"/>
    </row>
    <row r="52" spans="1:15" ht="14.5" x14ac:dyDescent="0.35">
      <c r="A52" s="5" t="s">
        <v>93</v>
      </c>
      <c r="B52" s="5" t="s">
        <v>94</v>
      </c>
      <c r="C52" s="38">
        <v>0</v>
      </c>
      <c r="D52" s="5" t="s">
        <v>95</v>
      </c>
      <c r="E52" s="52">
        <v>0</v>
      </c>
      <c r="F52" s="5" t="s">
        <v>49</v>
      </c>
      <c r="G52" s="5"/>
      <c r="H52" s="5"/>
      <c r="I52" s="6" t="s">
        <v>101</v>
      </c>
      <c r="J52" s="6" t="s">
        <v>101</v>
      </c>
      <c r="K52" s="6"/>
      <c r="L52" s="5"/>
      <c r="M52" s="5"/>
      <c r="N52" s="38"/>
      <c r="O52" s="6"/>
    </row>
    <row r="53" spans="1:15" ht="14.5" x14ac:dyDescent="0.35">
      <c r="A53" s="5"/>
      <c r="B53" s="5" t="s">
        <v>17</v>
      </c>
      <c r="C53" s="38">
        <v>0</v>
      </c>
      <c r="D53" s="5" t="s">
        <v>95</v>
      </c>
      <c r="E53" s="52">
        <v>0</v>
      </c>
      <c r="F53" s="5" t="s">
        <v>49</v>
      </c>
      <c r="G53" s="5"/>
      <c r="H53" s="5"/>
      <c r="I53" s="6" t="s">
        <v>101</v>
      </c>
      <c r="J53" s="6" t="s">
        <v>101</v>
      </c>
      <c r="K53" s="6"/>
      <c r="L53" s="5"/>
      <c r="M53" s="5"/>
      <c r="N53" s="38"/>
      <c r="O53" s="6"/>
    </row>
    <row r="54" spans="1:15" ht="14.5" x14ac:dyDescent="0.35">
      <c r="A54" s="5" t="s">
        <v>96</v>
      </c>
      <c r="B54" s="5" t="s">
        <v>94</v>
      </c>
      <c r="C54" s="38">
        <v>0</v>
      </c>
      <c r="D54" s="5" t="s">
        <v>95</v>
      </c>
      <c r="E54" s="52">
        <v>0</v>
      </c>
      <c r="F54" s="5" t="s">
        <v>49</v>
      </c>
      <c r="G54" s="5"/>
      <c r="H54" s="5"/>
      <c r="I54" s="6" t="s">
        <v>101</v>
      </c>
      <c r="J54" s="6" t="s">
        <v>101</v>
      </c>
      <c r="K54" s="6"/>
      <c r="L54" s="5"/>
      <c r="M54" s="5"/>
      <c r="N54" s="38"/>
      <c r="O54" s="6"/>
    </row>
    <row r="55" spans="1:15" ht="14.5" x14ac:dyDescent="0.35">
      <c r="A55" s="5"/>
      <c r="B55" s="5" t="s">
        <v>17</v>
      </c>
      <c r="C55" s="38">
        <v>0</v>
      </c>
      <c r="D55" s="5" t="s">
        <v>95</v>
      </c>
      <c r="E55" s="52">
        <v>0</v>
      </c>
      <c r="F55" s="5" t="s">
        <v>49</v>
      </c>
      <c r="G55" s="5"/>
      <c r="H55" s="5"/>
      <c r="I55" s="6" t="s">
        <v>101</v>
      </c>
      <c r="J55" s="6" t="s">
        <v>101</v>
      </c>
      <c r="K55" s="6"/>
      <c r="L55" s="5"/>
      <c r="M55" s="5"/>
      <c r="N55" s="38"/>
      <c r="O55" s="6"/>
    </row>
    <row r="56" spans="1:15" ht="14.5" x14ac:dyDescent="0.35">
      <c r="A56" s="5" t="s">
        <v>98</v>
      </c>
      <c r="B56" s="5" t="s">
        <v>94</v>
      </c>
      <c r="C56" s="38">
        <v>0</v>
      </c>
      <c r="D56" s="5" t="s">
        <v>95</v>
      </c>
      <c r="E56" s="52">
        <v>0</v>
      </c>
      <c r="F56" s="5" t="s">
        <v>49</v>
      </c>
      <c r="G56" s="5"/>
      <c r="H56" s="5"/>
      <c r="I56" s="6" t="s">
        <v>101</v>
      </c>
      <c r="J56" s="6" t="s">
        <v>101</v>
      </c>
      <c r="K56" s="6"/>
      <c r="L56" s="5"/>
      <c r="M56" s="5"/>
      <c r="N56" s="38"/>
      <c r="O56" s="6"/>
    </row>
    <row r="57" spans="1:15" ht="14.5" x14ac:dyDescent="0.35">
      <c r="A57" s="5"/>
      <c r="B57" s="5" t="s">
        <v>17</v>
      </c>
      <c r="C57" s="38">
        <v>0</v>
      </c>
      <c r="D57" s="5" t="s">
        <v>95</v>
      </c>
      <c r="E57" s="52">
        <v>0</v>
      </c>
      <c r="F57" s="5" t="s">
        <v>49</v>
      </c>
      <c r="G57" s="5"/>
      <c r="H57" s="5"/>
      <c r="I57" s="6" t="s">
        <v>101</v>
      </c>
      <c r="J57" s="6" t="s">
        <v>101</v>
      </c>
      <c r="K57" s="6"/>
      <c r="L57" s="5"/>
      <c r="M57" s="5"/>
      <c r="N57" s="38"/>
      <c r="O57" s="6"/>
    </row>
    <row r="58" spans="1:15" ht="14.5" x14ac:dyDescent="0.35">
      <c r="A58" s="5" t="s">
        <v>99</v>
      </c>
      <c r="B58" s="5" t="s">
        <v>94</v>
      </c>
      <c r="C58" s="38">
        <v>0</v>
      </c>
      <c r="D58" s="5" t="s">
        <v>95</v>
      </c>
      <c r="E58" s="52">
        <v>0</v>
      </c>
      <c r="F58" s="5" t="s">
        <v>49</v>
      </c>
      <c r="G58" s="5"/>
      <c r="H58" s="5"/>
      <c r="I58" s="6" t="s">
        <v>101</v>
      </c>
      <c r="J58" s="6" t="s">
        <v>101</v>
      </c>
      <c r="K58" s="6"/>
      <c r="L58" s="5"/>
      <c r="M58" s="5"/>
      <c r="N58" s="38"/>
      <c r="O58" s="6"/>
    </row>
    <row r="59" spans="1:15" ht="14.5" x14ac:dyDescent="0.35">
      <c r="A59" s="5"/>
      <c r="B59" s="5" t="s">
        <v>17</v>
      </c>
      <c r="C59" s="38">
        <v>0</v>
      </c>
      <c r="D59" s="5" t="s">
        <v>95</v>
      </c>
      <c r="E59" s="52">
        <v>0</v>
      </c>
      <c r="F59" s="5" t="s">
        <v>49</v>
      </c>
      <c r="G59" s="5"/>
      <c r="H59" s="5"/>
      <c r="I59" s="6" t="s">
        <v>101</v>
      </c>
      <c r="J59" s="6" t="s">
        <v>101</v>
      </c>
      <c r="K59" s="6"/>
      <c r="L59" s="5"/>
      <c r="M59" s="5"/>
      <c r="N59" s="38"/>
      <c r="O59" s="6"/>
    </row>
    <row r="60" spans="1:15" ht="14.5" x14ac:dyDescent="0.35">
      <c r="A60" s="5"/>
      <c r="B60" s="5"/>
      <c r="C60" s="38"/>
      <c r="D60" s="5"/>
      <c r="E60" s="5"/>
      <c r="F60" s="5"/>
      <c r="G60" s="5"/>
      <c r="H60" s="5"/>
      <c r="I60" s="6"/>
      <c r="J60" s="6"/>
      <c r="K60" s="6"/>
      <c r="L60" s="5"/>
      <c r="M60" s="5"/>
      <c r="N60" s="38"/>
      <c r="O60" s="6"/>
    </row>
    <row r="61" spans="1:15" ht="14.5" x14ac:dyDescent="0.35">
      <c r="A61" s="5"/>
      <c r="B61" s="5"/>
      <c r="C61" s="38"/>
      <c r="D61" s="5"/>
      <c r="E61" s="5"/>
      <c r="F61" s="5"/>
      <c r="G61" s="5"/>
      <c r="H61" s="5"/>
      <c r="I61" s="6"/>
      <c r="J61" s="6"/>
      <c r="K61" s="6"/>
      <c r="L61" s="5"/>
      <c r="M61" s="5"/>
      <c r="N61" s="38"/>
      <c r="O61" s="6"/>
    </row>
    <row r="62" spans="1:15" ht="14.5" x14ac:dyDescent="0.35">
      <c r="A62" s="5"/>
      <c r="B62" s="5"/>
      <c r="C62" s="38"/>
      <c r="D62" s="5"/>
      <c r="E62" s="5"/>
      <c r="F62" s="5"/>
      <c r="G62" s="5"/>
      <c r="H62" s="5"/>
      <c r="I62" s="6"/>
      <c r="J62" s="6"/>
      <c r="K62" s="6"/>
      <c r="L62" s="5"/>
      <c r="M62" s="5"/>
      <c r="N62" s="38"/>
      <c r="O62" s="6"/>
    </row>
    <row r="63" spans="1:15" ht="14.5" x14ac:dyDescent="0.35">
      <c r="A63" s="47" t="s">
        <v>102</v>
      </c>
      <c r="B63" s="5"/>
      <c r="C63" s="38"/>
      <c r="D63" s="5"/>
      <c r="E63" s="5"/>
      <c r="F63" s="5"/>
      <c r="G63" s="5"/>
      <c r="H63" s="48"/>
      <c r="I63" s="49"/>
      <c r="J63" s="49"/>
      <c r="K63" s="49"/>
      <c r="L63" s="5"/>
      <c r="M63" s="5"/>
      <c r="N63" s="38"/>
      <c r="O63" s="5"/>
    </row>
    <row r="64" spans="1:15" ht="14.5" x14ac:dyDescent="0.35">
      <c r="A64" s="46" t="s">
        <v>21</v>
      </c>
      <c r="B64" s="5"/>
      <c r="C64" s="38"/>
      <c r="D64" s="5"/>
      <c r="E64" s="5"/>
      <c r="F64" s="5"/>
      <c r="G64" s="5"/>
      <c r="H64" s="46"/>
      <c r="I64" s="45" t="s">
        <v>92</v>
      </c>
      <c r="J64" s="45"/>
      <c r="K64" s="45"/>
      <c r="L64" s="5"/>
      <c r="M64" s="5"/>
      <c r="N64" s="38"/>
      <c r="O64" s="5"/>
    </row>
    <row r="65" spans="1:15" ht="16.5" x14ac:dyDescent="0.55000000000000004">
      <c r="A65" s="5" t="s">
        <v>104</v>
      </c>
      <c r="B65" s="5" t="str">
        <f>'PH GPC RC 2024'!A1</f>
        <v>SMASH 100 EC Fogging per Liter Larutan</v>
      </c>
      <c r="C65" s="38">
        <v>0</v>
      </c>
      <c r="D65" s="5" t="s">
        <v>213</v>
      </c>
      <c r="E65" s="5"/>
      <c r="F65" s="5"/>
      <c r="G65" s="5"/>
      <c r="H65" s="5"/>
      <c r="I65" s="6">
        <f>'PH GPC RC 2024'!F1</f>
        <v>25728.072916666668</v>
      </c>
      <c r="J65" s="6">
        <f t="shared" ref="J65:J101" si="2">I65*C65</f>
        <v>0</v>
      </c>
      <c r="K65" s="6">
        <f>SUM(J65:J101)</f>
        <v>27756.145833333332</v>
      </c>
      <c r="L65" s="50"/>
      <c r="M65" s="5"/>
      <c r="N65" s="38"/>
      <c r="O65" s="5"/>
    </row>
    <row r="66" spans="1:15" ht="16.5" x14ac:dyDescent="0.55000000000000004">
      <c r="A66" s="5"/>
      <c r="B66" s="5" t="str">
        <f>'PH GPC RC 2024'!A13</f>
        <v>Clearmos Fogging per Liter Larutan</v>
      </c>
      <c r="C66" s="38">
        <v>0</v>
      </c>
      <c r="D66" s="5" t="s">
        <v>213</v>
      </c>
      <c r="E66" s="5"/>
      <c r="F66" s="5"/>
      <c r="G66" s="5"/>
      <c r="H66" s="5"/>
      <c r="I66" s="6">
        <f>'PH GPC RC 2024'!F13</f>
        <v>25628.072916666668</v>
      </c>
      <c r="J66" s="6">
        <f t="shared" si="2"/>
        <v>0</v>
      </c>
      <c r="K66" s="6"/>
      <c r="L66" s="50"/>
      <c r="M66" s="5"/>
      <c r="N66" s="38"/>
      <c r="O66" s="5"/>
    </row>
    <row r="67" spans="1:15" ht="16.5" x14ac:dyDescent="0.55000000000000004">
      <c r="A67" s="5"/>
      <c r="B67" s="5" t="str">
        <f>'PH GPC RC 2024'!A25</f>
        <v>Storin Fogging per Liter Larutan (White Oil)</v>
      </c>
      <c r="C67" s="38">
        <v>0</v>
      </c>
      <c r="D67" s="5" t="s">
        <v>213</v>
      </c>
      <c r="E67" s="5"/>
      <c r="F67" s="5"/>
      <c r="G67" s="5"/>
      <c r="H67" s="5"/>
      <c r="I67" s="6">
        <f>'PH GPC RC 2024'!F25</f>
        <v>36503.072916666664</v>
      </c>
      <c r="J67" s="6">
        <f t="shared" si="2"/>
        <v>0</v>
      </c>
      <c r="K67" s="6"/>
      <c r="L67" s="50"/>
      <c r="M67" s="5"/>
      <c r="N67" s="38"/>
      <c r="O67" s="5"/>
    </row>
    <row r="68" spans="1:15" ht="16.5" x14ac:dyDescent="0.55000000000000004">
      <c r="A68" s="5"/>
      <c r="B68" s="5" t="str">
        <f>'PH GPC RC 2024'!A37</f>
        <v>K Othrine Fogging per Liter Larutan</v>
      </c>
      <c r="C68" s="38">
        <v>0</v>
      </c>
      <c r="D68" s="5" t="s">
        <v>213</v>
      </c>
      <c r="E68" s="5"/>
      <c r="F68" s="5"/>
      <c r="G68" s="5"/>
      <c r="H68" s="5"/>
      <c r="I68" s="6">
        <f>'PH GPC RC 2024'!F37</f>
        <v>23378.072916666668</v>
      </c>
      <c r="J68" s="6">
        <f t="shared" si="2"/>
        <v>0</v>
      </c>
      <c r="K68" s="6"/>
      <c r="L68" s="50"/>
      <c r="M68" s="5"/>
      <c r="N68" s="38"/>
      <c r="O68" s="5"/>
    </row>
    <row r="69" spans="1:15" ht="16.5" x14ac:dyDescent="0.55000000000000004">
      <c r="A69" s="5" t="s">
        <v>106</v>
      </c>
      <c r="B69" s="5" t="str">
        <f>'PH GPC RC 2024'!A49</f>
        <v>CLEARMOS ULV PER LITER LARUTAN</v>
      </c>
      <c r="C69" s="38">
        <v>0</v>
      </c>
      <c r="D69" s="5" t="s">
        <v>213</v>
      </c>
      <c r="E69" s="5"/>
      <c r="F69" s="5"/>
      <c r="G69" s="5"/>
      <c r="H69" s="5"/>
      <c r="I69" s="6">
        <f>'PH GPC RC 2024'!F49</f>
        <v>6178.072916666667</v>
      </c>
      <c r="J69" s="6">
        <f t="shared" si="2"/>
        <v>0</v>
      </c>
      <c r="K69" s="6"/>
      <c r="L69" s="50"/>
      <c r="M69" s="5"/>
      <c r="N69" s="38"/>
      <c r="O69" s="5"/>
    </row>
    <row r="70" spans="1:15" ht="16.5" x14ac:dyDescent="0.55000000000000004">
      <c r="A70" s="5"/>
      <c r="B70" s="5" t="str">
        <f>'PH GPC RC 2024'!A61</f>
        <v>K OTHRINE ULV PER LITER LARUTAN</v>
      </c>
      <c r="C70" s="38">
        <v>0</v>
      </c>
      <c r="D70" s="5" t="s">
        <v>213</v>
      </c>
      <c r="E70" s="5"/>
      <c r="F70" s="5"/>
      <c r="G70" s="5"/>
      <c r="H70" s="5"/>
      <c r="I70" s="6">
        <f>'PH GPC RC 2024'!F61</f>
        <v>3928.0729166666665</v>
      </c>
      <c r="J70" s="6">
        <f t="shared" si="2"/>
        <v>0</v>
      </c>
      <c r="K70" s="6"/>
      <c r="L70" s="50"/>
      <c r="M70" s="5"/>
      <c r="N70" s="38"/>
      <c r="O70" s="5"/>
    </row>
    <row r="71" spans="1:15" ht="16.5" x14ac:dyDescent="0.55000000000000004">
      <c r="A71" s="5"/>
      <c r="B71" s="5" t="str">
        <f>'PH GPC RC 2024'!A73</f>
        <v>N/A</v>
      </c>
      <c r="C71" s="38">
        <v>0</v>
      </c>
      <c r="D71" s="5" t="s">
        <v>213</v>
      </c>
      <c r="E71" s="5"/>
      <c r="F71" s="5"/>
      <c r="G71" s="5"/>
      <c r="H71" s="5"/>
      <c r="I71" s="6">
        <f>'PH GPC RC 2024'!F73</f>
        <v>0</v>
      </c>
      <c r="J71" s="6">
        <f t="shared" si="2"/>
        <v>0</v>
      </c>
      <c r="K71" s="6"/>
      <c r="L71" s="50"/>
      <c r="M71" s="5"/>
      <c r="N71" s="38"/>
      <c r="O71" s="5"/>
    </row>
    <row r="72" spans="1:15" ht="16.5" x14ac:dyDescent="0.55000000000000004">
      <c r="A72" s="5" t="s">
        <v>107</v>
      </c>
      <c r="B72" s="5" t="str">
        <f>'PH GPC RC 2024'!A85</f>
        <v>Lavender per Liter Larutan</v>
      </c>
      <c r="C72" s="38">
        <v>0</v>
      </c>
      <c r="D72" s="5" t="s">
        <v>213</v>
      </c>
      <c r="E72" s="5"/>
      <c r="F72" s="5"/>
      <c r="G72" s="5"/>
      <c r="H72" s="5"/>
      <c r="I72" s="6">
        <f>'PH GPC RC 2024'!F85</f>
        <v>8178.072916666667</v>
      </c>
      <c r="J72" s="6">
        <f t="shared" si="2"/>
        <v>0</v>
      </c>
      <c r="K72" s="6"/>
      <c r="L72" s="50"/>
      <c r="M72" s="5"/>
      <c r="N72" s="38"/>
      <c r="O72" s="5"/>
    </row>
    <row r="73" spans="1:15" ht="16.5" x14ac:dyDescent="0.55000000000000004">
      <c r="B73" s="5" t="str">
        <f>'PH GPC RC 2024'!A97</f>
        <v>Agenda RSD Semut/Rayap per Liter Larutan</v>
      </c>
      <c r="C73" s="38">
        <v>0</v>
      </c>
      <c r="D73" s="5" t="s">
        <v>213</v>
      </c>
      <c r="E73" s="5"/>
      <c r="F73" s="5"/>
      <c r="G73" s="5"/>
      <c r="H73" s="5"/>
      <c r="I73" s="6">
        <f>'PH GPC RC 2024'!F97</f>
        <v>4678.072916666667</v>
      </c>
      <c r="J73" s="6">
        <f t="shared" si="2"/>
        <v>0</v>
      </c>
      <c r="K73" s="6"/>
      <c r="L73" s="50"/>
      <c r="M73" s="5"/>
      <c r="N73" s="38"/>
      <c r="O73" s="5"/>
    </row>
    <row r="74" spans="1:15" ht="16.5" x14ac:dyDescent="0.55000000000000004">
      <c r="A74" s="5"/>
      <c r="B74" s="5" t="str">
        <f>'PH GPC RC 2024'!A109</f>
        <v>Storin per Liter Larutan</v>
      </c>
      <c r="C74" s="38">
        <v>0</v>
      </c>
      <c r="D74" s="5" t="s">
        <v>213</v>
      </c>
      <c r="E74" s="5"/>
      <c r="F74" s="5"/>
      <c r="G74" s="5"/>
      <c r="H74" s="5"/>
      <c r="I74" s="6">
        <f>'PH GPC RC 2024'!F109</f>
        <v>3603.0729166666665</v>
      </c>
      <c r="J74" s="6">
        <f t="shared" si="2"/>
        <v>0</v>
      </c>
      <c r="K74" s="6"/>
      <c r="L74" s="50"/>
      <c r="M74" s="5"/>
      <c r="N74" s="38"/>
      <c r="O74" s="5"/>
    </row>
    <row r="75" spans="1:15" ht="16.5" x14ac:dyDescent="0.55000000000000004">
      <c r="A75" s="5"/>
      <c r="B75" s="5" t="str">
        <f>'PH GPC RC 2024'!A121</f>
        <v>TENOPA RSD Kecoa Jerman</v>
      </c>
      <c r="C75" s="38">
        <v>2</v>
      </c>
      <c r="D75" s="5" t="s">
        <v>213</v>
      </c>
      <c r="E75" s="5"/>
      <c r="F75" s="5"/>
      <c r="G75" s="5"/>
      <c r="H75" s="5"/>
      <c r="I75" s="6">
        <f>'PH GPC RC 2024'!F121</f>
        <v>13878.072916666666</v>
      </c>
      <c r="J75" s="6">
        <f t="shared" si="2"/>
        <v>27756.145833333332</v>
      </c>
      <c r="K75" s="6"/>
      <c r="L75" s="50"/>
      <c r="M75" s="5"/>
      <c r="N75" s="38"/>
      <c r="O75" s="5"/>
    </row>
    <row r="76" spans="1:15" ht="16.5" x14ac:dyDescent="0.55000000000000004">
      <c r="A76" s="5"/>
      <c r="B76" s="5" t="str">
        <f>'PH GPC RC 2024'!A133</f>
        <v>K OTHRINE per Liter Larutan</v>
      </c>
      <c r="C76" s="38">
        <v>0</v>
      </c>
      <c r="D76" s="5" t="s">
        <v>213</v>
      </c>
      <c r="E76" s="5"/>
      <c r="F76" s="5"/>
      <c r="G76" s="5"/>
      <c r="H76" s="5"/>
      <c r="I76" s="6">
        <f>'PH GPC RC 2024'!F133</f>
        <v>3928.0729166666665</v>
      </c>
      <c r="J76" s="6">
        <f t="shared" si="2"/>
        <v>0</v>
      </c>
      <c r="K76" s="6"/>
      <c r="L76" s="50"/>
      <c r="M76" s="5"/>
      <c r="N76" s="38"/>
      <c r="O76" s="6"/>
    </row>
    <row r="77" spans="1:15" ht="16.5" x14ac:dyDescent="0.55000000000000004">
      <c r="A77" s="5" t="s">
        <v>108</v>
      </c>
      <c r="B77" s="5" t="str">
        <f>'PH GPC RC 2024'!A145</f>
        <v>Flygard Bait Lalat</v>
      </c>
      <c r="C77" s="38">
        <v>0</v>
      </c>
      <c r="D77" s="5" t="s">
        <v>214</v>
      </c>
      <c r="E77" s="5"/>
      <c r="F77" s="5"/>
      <c r="G77" s="5"/>
      <c r="H77" s="5"/>
      <c r="I77" s="6">
        <f>'PH GPC RC 2024'!F145</f>
        <v>5933.072916666667</v>
      </c>
      <c r="J77" s="6">
        <f t="shared" si="2"/>
        <v>0</v>
      </c>
      <c r="K77" s="6"/>
      <c r="L77" s="50"/>
      <c r="M77" s="5"/>
      <c r="N77" s="38"/>
      <c r="O77" s="6"/>
    </row>
    <row r="78" spans="1:15" ht="16.5" x14ac:dyDescent="0.55000000000000004">
      <c r="A78" s="5"/>
      <c r="B78" s="5" t="str">
        <f>'PH GPC RC 2024'!A157</f>
        <v>Agita WG Bait Lalat</v>
      </c>
      <c r="C78" s="38">
        <v>0</v>
      </c>
      <c r="D78" s="5" t="s">
        <v>214</v>
      </c>
      <c r="E78" s="5"/>
      <c r="F78" s="5"/>
      <c r="G78" s="5"/>
      <c r="H78" s="5"/>
      <c r="I78" s="6">
        <f>'PH GPC RC 2024'!F157</f>
        <v>19863.072916666668</v>
      </c>
      <c r="J78" s="6">
        <f t="shared" si="2"/>
        <v>0</v>
      </c>
      <c r="K78" s="6"/>
      <c r="L78" s="50"/>
      <c r="M78" s="5"/>
      <c r="N78" s="38"/>
      <c r="O78" s="6"/>
    </row>
    <row r="79" spans="1:15" ht="16.5" x14ac:dyDescent="0.55000000000000004">
      <c r="A79" s="5"/>
      <c r="B79" s="5" t="str">
        <f>'PH GPC RC 2024'!A169</f>
        <v>N/A</v>
      </c>
      <c r="C79" s="38">
        <v>0</v>
      </c>
      <c r="D79" s="5" t="s">
        <v>214</v>
      </c>
      <c r="E79" s="5"/>
      <c r="F79" s="5"/>
      <c r="G79" s="5"/>
      <c r="H79" s="5"/>
      <c r="I79" s="6">
        <f>'PH GPC RC 2024'!F169</f>
        <v>0</v>
      </c>
      <c r="J79" s="6">
        <f t="shared" si="2"/>
        <v>0</v>
      </c>
      <c r="K79" s="6"/>
      <c r="L79" s="50"/>
      <c r="M79" s="5"/>
      <c r="N79" s="38"/>
      <c r="O79" s="6"/>
    </row>
    <row r="80" spans="1:15" ht="16.5" x14ac:dyDescent="0.55000000000000004">
      <c r="A80" s="5"/>
      <c r="B80" s="5" t="str">
        <f>'PH GPC RC 2024'!A181</f>
        <v>N/A</v>
      </c>
      <c r="C80" s="38">
        <v>0</v>
      </c>
      <c r="D80" s="5" t="s">
        <v>214</v>
      </c>
      <c r="E80" s="5"/>
      <c r="F80" s="5"/>
      <c r="G80" s="5"/>
      <c r="H80" s="5"/>
      <c r="I80" s="6">
        <f>'PH GPC RC 2024'!F181</f>
        <v>0</v>
      </c>
      <c r="J80" s="6">
        <f t="shared" si="2"/>
        <v>0</v>
      </c>
      <c r="K80" s="6"/>
      <c r="L80" s="50"/>
      <c r="M80" s="5"/>
      <c r="N80" s="38"/>
      <c r="O80" s="6"/>
    </row>
    <row r="81" spans="1:15" ht="16.5" x14ac:dyDescent="0.55000000000000004">
      <c r="A81" s="5" t="s">
        <v>109</v>
      </c>
      <c r="B81" s="5" t="str">
        <f>'PH GPC RC 2024'!A193</f>
        <v>Blattanex Gel Bait trap</v>
      </c>
      <c r="C81" s="38">
        <v>0</v>
      </c>
      <c r="D81" s="5" t="s">
        <v>300</v>
      </c>
      <c r="E81" s="5"/>
      <c r="F81" s="5"/>
      <c r="G81" s="5"/>
      <c r="H81" s="5"/>
      <c r="I81" s="6">
        <f>'PH GPC RC 2024'!F193</f>
        <v>120000</v>
      </c>
      <c r="J81" s="6">
        <f t="shared" si="2"/>
        <v>0</v>
      </c>
      <c r="K81" s="6"/>
      <c r="L81" s="50"/>
      <c r="M81" s="5"/>
      <c r="N81" s="38"/>
      <c r="O81" s="6"/>
    </row>
    <row r="82" spans="1:15" ht="16.5" x14ac:dyDescent="0.55000000000000004">
      <c r="A82" s="5"/>
      <c r="B82" s="5" t="str">
        <f>'PH GPC RC 2024'!A205</f>
        <v>Max Force Quantum Gel Semut</v>
      </c>
      <c r="C82" s="38">
        <v>0</v>
      </c>
      <c r="D82" s="5" t="s">
        <v>215</v>
      </c>
      <c r="E82" s="5"/>
      <c r="F82" s="5"/>
      <c r="G82" s="5"/>
      <c r="H82" s="5"/>
      <c r="I82" s="6">
        <f>'PH GPC RC 2024'!F205</f>
        <v>120000</v>
      </c>
      <c r="J82" s="6">
        <f t="shared" si="2"/>
        <v>0</v>
      </c>
      <c r="K82" s="6"/>
      <c r="L82" s="50"/>
      <c r="M82" s="5"/>
      <c r="N82" s="38"/>
      <c r="O82" s="6"/>
    </row>
    <row r="83" spans="1:15" ht="16.5" x14ac:dyDescent="0.55000000000000004">
      <c r="A83" s="5" t="s">
        <v>301</v>
      </c>
      <c r="B83" s="5" t="str">
        <f>'PH GPC RC 2024'!A241</f>
        <v>Pohon Lalat</v>
      </c>
      <c r="C83" s="38">
        <v>0</v>
      </c>
      <c r="D83" s="5" t="s">
        <v>105</v>
      </c>
      <c r="E83" s="5"/>
      <c r="F83" s="5"/>
      <c r="G83" s="5"/>
      <c r="H83" s="5"/>
      <c r="I83" s="6">
        <f>'PH GPC RC 2024'!F241</f>
        <v>7011.4062448333334</v>
      </c>
      <c r="J83" s="6">
        <f t="shared" si="2"/>
        <v>0</v>
      </c>
      <c r="K83" s="6"/>
      <c r="L83" s="50"/>
      <c r="M83" s="5"/>
      <c r="N83" s="38"/>
      <c r="O83" s="6"/>
    </row>
    <row r="84" spans="1:15" ht="16.5" x14ac:dyDescent="0.55000000000000004">
      <c r="A84" s="5"/>
      <c r="B84" s="5" t="str">
        <f>'PH GPC RC 2024'!A253</f>
        <v>N/A</v>
      </c>
      <c r="C84" s="38">
        <v>0</v>
      </c>
      <c r="D84" s="5" t="s">
        <v>105</v>
      </c>
      <c r="E84" s="5"/>
      <c r="F84" s="5"/>
      <c r="G84" s="5"/>
      <c r="H84" s="5"/>
      <c r="I84" s="6">
        <f>'PH GPC RC 2024'!F253</f>
        <v>0</v>
      </c>
      <c r="J84" s="6">
        <f t="shared" si="2"/>
        <v>0</v>
      </c>
      <c r="K84" s="6"/>
      <c r="L84" s="50"/>
      <c r="M84" s="5"/>
      <c r="N84" s="38"/>
      <c r="O84" s="6"/>
    </row>
    <row r="85" spans="1:15" ht="16.5" x14ac:dyDescent="0.55000000000000004">
      <c r="A85" s="5"/>
      <c r="B85" s="5" t="str">
        <f>'PH GPC RC 2024'!A265</f>
        <v>N/A</v>
      </c>
      <c r="C85" s="38">
        <v>0</v>
      </c>
      <c r="D85" s="5" t="s">
        <v>105</v>
      </c>
      <c r="E85" s="5"/>
      <c r="F85" s="5"/>
      <c r="G85" s="5"/>
      <c r="H85" s="5"/>
      <c r="I85" s="6">
        <f>'PH GPC RC 2024'!F265</f>
        <v>0</v>
      </c>
      <c r="J85" s="6">
        <f t="shared" si="2"/>
        <v>0</v>
      </c>
      <c r="K85" s="6"/>
      <c r="L85" s="50"/>
      <c r="M85" s="5"/>
      <c r="N85" s="38"/>
      <c r="O85" s="6"/>
    </row>
    <row r="86" spans="1:15" ht="16.5" x14ac:dyDescent="0.55000000000000004">
      <c r="A86" s="5"/>
      <c r="B86" s="5" t="str">
        <f>'PH GPC RC 2024'!A277</f>
        <v>N/A</v>
      </c>
      <c r="C86" s="38">
        <v>0</v>
      </c>
      <c r="D86" s="5" t="s">
        <v>105</v>
      </c>
      <c r="E86" s="5"/>
      <c r="F86" s="5"/>
      <c r="G86" s="5"/>
      <c r="H86" s="5"/>
      <c r="I86" s="6">
        <f>'PH GPC RC 2024'!F277</f>
        <v>0</v>
      </c>
      <c r="J86" s="6">
        <f t="shared" si="2"/>
        <v>0</v>
      </c>
      <c r="K86" s="6"/>
      <c r="L86" s="50"/>
      <c r="M86" s="5"/>
      <c r="N86" s="38"/>
      <c r="O86" s="6"/>
    </row>
    <row r="87" spans="1:15" ht="16.5" x14ac:dyDescent="0.55000000000000004">
      <c r="A87" s="5" t="str">
        <f>'PH GPC RC 2024'!A289</f>
        <v>Hoy Hoy (Kecoa)</v>
      </c>
      <c r="B87" s="5" t="str">
        <f>'PH GPC RC 2024'!A289</f>
        <v>Hoy Hoy (Kecoa)</v>
      </c>
      <c r="C87" s="38">
        <v>0</v>
      </c>
      <c r="D87" s="5" t="s">
        <v>105</v>
      </c>
      <c r="E87" s="5"/>
      <c r="F87" s="5"/>
      <c r="G87" s="5"/>
      <c r="H87" s="5"/>
      <c r="I87" s="6">
        <f>'PH GPC RC 2024'!F289</f>
        <v>3689.0364583333335</v>
      </c>
      <c r="J87" s="6">
        <f t="shared" si="2"/>
        <v>0</v>
      </c>
      <c r="K87" s="6"/>
      <c r="L87" s="50"/>
      <c r="M87" s="5"/>
      <c r="N87" s="38"/>
      <c r="O87" s="6"/>
    </row>
    <row r="88" spans="1:15" ht="16.5" x14ac:dyDescent="0.55000000000000004">
      <c r="A88" s="5"/>
      <c r="B88" s="5" t="str">
        <f>'PH GPC RC 2024'!A301</f>
        <v>N/A</v>
      </c>
      <c r="C88" s="38">
        <v>0</v>
      </c>
      <c r="D88" s="5" t="s">
        <v>105</v>
      </c>
      <c r="E88" s="5"/>
      <c r="F88" s="5"/>
      <c r="G88" s="5"/>
      <c r="H88" s="5"/>
      <c r="I88" s="6">
        <f>'PH GPC RC 2024'!F301</f>
        <v>0</v>
      </c>
      <c r="J88" s="6">
        <f t="shared" si="2"/>
        <v>0</v>
      </c>
      <c r="K88" s="6"/>
      <c r="L88" s="50"/>
      <c r="M88" s="5"/>
      <c r="N88" s="38"/>
      <c r="O88" s="6"/>
    </row>
    <row r="89" spans="1:15" ht="16.5" x14ac:dyDescent="0.55000000000000004">
      <c r="A89" s="5"/>
      <c r="B89" s="5" t="str">
        <f>'PH GPC RC 2024'!A313</f>
        <v>N/A</v>
      </c>
      <c r="C89" s="38">
        <v>0</v>
      </c>
      <c r="D89" s="5" t="s">
        <v>105</v>
      </c>
      <c r="E89" s="5"/>
      <c r="F89" s="5"/>
      <c r="G89" s="5"/>
      <c r="H89" s="5"/>
      <c r="I89" s="6">
        <f>'PH GPC RC 2024'!F313</f>
        <v>0</v>
      </c>
      <c r="J89" s="6">
        <f t="shared" si="2"/>
        <v>0</v>
      </c>
      <c r="K89" s="6"/>
      <c r="L89" s="50"/>
      <c r="M89" s="5"/>
      <c r="N89" s="38"/>
      <c r="O89" s="6"/>
    </row>
    <row r="90" spans="1:15" ht="16.5" x14ac:dyDescent="0.55000000000000004">
      <c r="A90" s="5"/>
      <c r="B90" s="5" t="str">
        <f>'PH GPC RC 2024'!A325</f>
        <v>N/A</v>
      </c>
      <c r="C90" s="38">
        <v>0</v>
      </c>
      <c r="D90" s="5" t="s">
        <v>105</v>
      </c>
      <c r="E90" s="5"/>
      <c r="F90" s="5"/>
      <c r="G90" s="5"/>
      <c r="H90" s="5"/>
      <c r="I90" s="6">
        <f>'PH GPC RC 2024'!F325</f>
        <v>0</v>
      </c>
      <c r="J90" s="6">
        <f t="shared" si="2"/>
        <v>0</v>
      </c>
      <c r="K90" s="6"/>
      <c r="L90" s="50"/>
      <c r="M90" s="5"/>
      <c r="N90" s="38"/>
      <c r="O90" s="6"/>
    </row>
    <row r="91" spans="1:15" ht="16.5" x14ac:dyDescent="0.55000000000000004">
      <c r="A91" s="5" t="s">
        <v>110</v>
      </c>
      <c r="B91" s="5" t="str">
        <f>'PH GPC RC 2024'!A337</f>
        <v>Vectobac Larvasida</v>
      </c>
      <c r="C91" s="38">
        <v>0</v>
      </c>
      <c r="D91" s="5" t="s">
        <v>214</v>
      </c>
      <c r="E91" s="5"/>
      <c r="F91" s="5"/>
      <c r="G91" s="5"/>
      <c r="H91" s="5"/>
      <c r="I91" s="6">
        <f>'PH GPC RC 2024'!F337</f>
        <v>7824.036458333333</v>
      </c>
      <c r="J91" s="6">
        <f t="shared" si="2"/>
        <v>0</v>
      </c>
      <c r="K91" s="6"/>
      <c r="L91" s="50"/>
      <c r="M91" s="5"/>
      <c r="N91" s="38"/>
      <c r="O91" s="6"/>
    </row>
    <row r="92" spans="1:15" ht="16.5" x14ac:dyDescent="0.55000000000000004">
      <c r="A92" s="5"/>
      <c r="B92" s="5" t="str">
        <f>'PH GPC RC 2024'!A349</f>
        <v>Abate Larvasida</v>
      </c>
      <c r="C92" s="38">
        <v>0</v>
      </c>
      <c r="D92" s="5" t="s">
        <v>214</v>
      </c>
      <c r="E92" s="5"/>
      <c r="F92" s="5"/>
      <c r="G92" s="5"/>
      <c r="H92" s="5"/>
      <c r="I92" s="6">
        <f>'PH GPC RC 2024'!F349</f>
        <v>1124.0364583333333</v>
      </c>
      <c r="J92" s="6">
        <f t="shared" si="2"/>
        <v>0</v>
      </c>
      <c r="K92" s="6"/>
      <c r="L92" s="50"/>
      <c r="M92" s="5"/>
      <c r="N92" s="38"/>
      <c r="O92" s="6"/>
    </row>
    <row r="93" spans="1:15" ht="16.5" x14ac:dyDescent="0.55000000000000004">
      <c r="A93" s="5"/>
      <c r="B93" s="5" t="str">
        <f>'PH GPC RC 2024'!A361</f>
        <v>N/A</v>
      </c>
      <c r="C93" s="38">
        <v>0</v>
      </c>
      <c r="D93" s="5" t="s">
        <v>105</v>
      </c>
      <c r="E93" s="5"/>
      <c r="F93" s="5"/>
      <c r="G93" s="5"/>
      <c r="H93" s="5"/>
      <c r="I93" s="6">
        <f>'PH GPC RC 2024'!F361</f>
        <v>0</v>
      </c>
      <c r="J93" s="6">
        <f t="shared" si="2"/>
        <v>0</v>
      </c>
      <c r="K93" s="6"/>
      <c r="L93" s="50"/>
      <c r="M93" s="5"/>
      <c r="N93" s="38"/>
      <c r="O93" s="6"/>
    </row>
    <row r="94" spans="1:15" ht="16.5" x14ac:dyDescent="0.55000000000000004">
      <c r="A94" s="5"/>
      <c r="B94" s="5" t="str">
        <f>'PH GPC RC 2024'!A373</f>
        <v>N/A</v>
      </c>
      <c r="C94" s="38">
        <v>0</v>
      </c>
      <c r="D94" s="5" t="s">
        <v>105</v>
      </c>
      <c r="E94" s="5"/>
      <c r="F94" s="5"/>
      <c r="G94" s="5"/>
      <c r="H94" s="5"/>
      <c r="I94" s="6">
        <f>'PH GPC RC 2024'!F373</f>
        <v>0</v>
      </c>
      <c r="J94" s="6">
        <f t="shared" si="2"/>
        <v>0</v>
      </c>
      <c r="K94" s="6"/>
      <c r="L94" s="50"/>
      <c r="M94" s="5"/>
      <c r="N94" s="38"/>
      <c r="O94" s="6"/>
    </row>
    <row r="95" spans="1:15" ht="16.5" x14ac:dyDescent="0.55000000000000004">
      <c r="A95" s="5"/>
      <c r="B95" s="5" t="str">
        <f>'PH GPC RC 2024'!A385</f>
        <v>N/A</v>
      </c>
      <c r="C95" s="38">
        <v>0</v>
      </c>
      <c r="D95" s="5" t="s">
        <v>105</v>
      </c>
      <c r="E95" s="5"/>
      <c r="F95" s="5"/>
      <c r="G95" s="5"/>
      <c r="H95" s="5"/>
      <c r="I95" s="6">
        <f>'PH GPC RC 2024'!F385</f>
        <v>0</v>
      </c>
      <c r="J95" s="6">
        <f t="shared" si="2"/>
        <v>0</v>
      </c>
      <c r="K95" s="6"/>
      <c r="L95" s="50"/>
      <c r="M95" s="5"/>
      <c r="N95" s="38"/>
      <c r="O95" s="6"/>
    </row>
    <row r="96" spans="1:15" ht="16.5" x14ac:dyDescent="0.55000000000000004">
      <c r="A96" s="5" t="s">
        <v>111</v>
      </c>
      <c r="B96" s="5" t="str">
        <f>'PH GPC RC 2024'!A397</f>
        <v>Fly Catcher</v>
      </c>
      <c r="C96" s="38">
        <v>0</v>
      </c>
      <c r="D96" s="5" t="s">
        <v>105</v>
      </c>
      <c r="E96" s="5"/>
      <c r="F96" s="5"/>
      <c r="G96" s="5"/>
      <c r="H96" s="5"/>
      <c r="I96" s="6">
        <f>'PH GPC RC 2024'!F397</f>
        <v>130879.42708333333</v>
      </c>
      <c r="J96" s="6">
        <f t="shared" si="2"/>
        <v>0</v>
      </c>
      <c r="K96" s="6"/>
      <c r="L96" s="50"/>
      <c r="M96" s="5"/>
      <c r="N96" s="38"/>
      <c r="O96" s="6"/>
    </row>
    <row r="97" spans="1:15" ht="16.5" x14ac:dyDescent="0.55000000000000004">
      <c r="A97" s="5"/>
      <c r="B97" s="5" t="str">
        <f>'PH GPC RC 2024'!A409</f>
        <v>Blackhole</v>
      </c>
      <c r="C97" s="38">
        <v>0</v>
      </c>
      <c r="D97" s="5" t="s">
        <v>105</v>
      </c>
      <c r="E97" s="5"/>
      <c r="F97" s="5"/>
      <c r="G97" s="5"/>
      <c r="H97" s="5"/>
      <c r="I97" s="6">
        <f>'PH GPC RC 2024'!F409</f>
        <v>77135.546875</v>
      </c>
      <c r="J97" s="6">
        <f t="shared" si="2"/>
        <v>0</v>
      </c>
      <c r="K97" s="6"/>
      <c r="L97" s="50"/>
      <c r="M97" s="5"/>
      <c r="N97" s="38"/>
      <c r="O97" s="6"/>
    </row>
    <row r="98" spans="1:15" ht="16.5" x14ac:dyDescent="0.55000000000000004">
      <c r="A98" s="5"/>
      <c r="B98" t="str">
        <f>'PH GPC RC 2024'!A421</f>
        <v>N/A</v>
      </c>
      <c r="C98" s="38">
        <v>0</v>
      </c>
      <c r="D98" s="5" t="s">
        <v>105</v>
      </c>
      <c r="E98" s="5"/>
      <c r="F98" s="5"/>
      <c r="G98" s="5"/>
      <c r="H98" s="5"/>
      <c r="I98" s="6">
        <f>'PH GPC RC 2024'!F421</f>
        <v>0</v>
      </c>
      <c r="J98" s="6">
        <f t="shared" si="2"/>
        <v>0</v>
      </c>
      <c r="K98" s="6"/>
      <c r="L98" s="50"/>
      <c r="M98" s="5"/>
      <c r="N98" s="38"/>
      <c r="O98" s="6"/>
    </row>
    <row r="99" spans="1:15" ht="16.5" x14ac:dyDescent="0.55000000000000004">
      <c r="A99" s="5"/>
      <c r="B99" t="str">
        <f>'PH GPC RC 2024'!A433</f>
        <v>N/A</v>
      </c>
      <c r="C99" s="38">
        <v>0</v>
      </c>
      <c r="D99" s="5" t="s">
        <v>105</v>
      </c>
      <c r="E99" s="5"/>
      <c r="F99" s="5"/>
      <c r="G99" s="5"/>
      <c r="H99" s="5"/>
      <c r="I99" s="6">
        <f>'PH GPC RC 2024'!F433</f>
        <v>0</v>
      </c>
      <c r="J99" s="6">
        <f t="shared" si="2"/>
        <v>0</v>
      </c>
      <c r="K99" s="6"/>
      <c r="L99" s="50"/>
      <c r="M99" s="5"/>
      <c r="N99" s="38"/>
      <c r="O99" s="6"/>
    </row>
    <row r="100" spans="1:15" ht="14.5" x14ac:dyDescent="0.35">
      <c r="A100" s="5" t="s">
        <v>219</v>
      </c>
      <c r="B100" s="5" t="s">
        <v>218</v>
      </c>
      <c r="C100" s="38">
        <v>0</v>
      </c>
      <c r="D100" s="5" t="s">
        <v>105</v>
      </c>
      <c r="E100" s="5"/>
      <c r="F100" s="5"/>
      <c r="G100" s="5"/>
      <c r="H100" s="5"/>
      <c r="I100" s="6">
        <v>55000</v>
      </c>
      <c r="J100" s="6">
        <f t="shared" si="2"/>
        <v>0</v>
      </c>
      <c r="K100" s="6"/>
      <c r="L100" s="5"/>
      <c r="M100" s="5"/>
      <c r="N100" s="38"/>
      <c r="O100" s="6"/>
    </row>
    <row r="101" spans="1:15" ht="14.5" x14ac:dyDescent="0.35">
      <c r="A101" s="5"/>
      <c r="B101" s="5" t="s">
        <v>220</v>
      </c>
      <c r="C101" s="38">
        <v>0</v>
      </c>
      <c r="D101" s="5"/>
      <c r="E101" s="5"/>
      <c r="F101" s="5"/>
      <c r="G101" s="5"/>
      <c r="H101" s="5"/>
      <c r="I101" s="6">
        <v>25000</v>
      </c>
      <c r="J101" s="6">
        <f t="shared" si="2"/>
        <v>0</v>
      </c>
      <c r="K101" s="6"/>
      <c r="L101" s="5"/>
      <c r="M101" s="5"/>
      <c r="N101" s="38"/>
      <c r="O101" s="6"/>
    </row>
    <row r="102" spans="1:15" ht="14.5" x14ac:dyDescent="0.35">
      <c r="A102" s="5"/>
      <c r="B102" s="5"/>
      <c r="C102" s="38"/>
      <c r="D102" s="5"/>
      <c r="E102" s="5"/>
      <c r="F102" s="5"/>
      <c r="G102" s="5"/>
      <c r="H102" s="5"/>
      <c r="I102" s="6"/>
      <c r="J102" s="6"/>
      <c r="K102" s="6"/>
      <c r="L102" s="5"/>
      <c r="M102" s="5"/>
      <c r="N102" s="38"/>
      <c r="O102" s="6"/>
    </row>
    <row r="103" spans="1:15" ht="14.5" x14ac:dyDescent="0.35">
      <c r="A103" s="46" t="s">
        <v>25</v>
      </c>
      <c r="B103" s="5"/>
      <c r="C103" s="38"/>
      <c r="D103" s="5"/>
      <c r="E103" s="5"/>
      <c r="F103" s="5"/>
      <c r="G103" s="5"/>
      <c r="H103" s="46"/>
      <c r="I103" s="45" t="s">
        <v>92</v>
      </c>
      <c r="J103" s="45"/>
      <c r="K103" s="45">
        <f>SUM(J104:J115)</f>
        <v>0</v>
      </c>
      <c r="L103" s="5"/>
      <c r="M103" s="5"/>
      <c r="N103" s="38"/>
      <c r="O103" s="6"/>
    </row>
    <row r="104" spans="1:15" ht="16.5" x14ac:dyDescent="0.55000000000000004">
      <c r="A104" s="5" t="s">
        <v>113</v>
      </c>
      <c r="B104" s="5" t="str">
        <f>'PH GPC RC 2024'!A445</f>
        <v>Unit PP Tray</v>
      </c>
      <c r="C104" s="38">
        <v>0</v>
      </c>
      <c r="D104" s="5" t="s">
        <v>105</v>
      </c>
      <c r="E104" s="5"/>
      <c r="F104" s="5"/>
      <c r="G104" s="5"/>
      <c r="I104" s="43">
        <f>'PH GPC RC 2024'!F445</f>
        <v>200</v>
      </c>
      <c r="J104" s="43">
        <f t="shared" ref="J104:J115" si="3">I104*C104</f>
        <v>0</v>
      </c>
      <c r="K104" s="43"/>
      <c r="L104" s="50"/>
      <c r="M104" s="5"/>
      <c r="N104" s="38"/>
      <c r="O104" s="6"/>
    </row>
    <row r="105" spans="1:15" ht="16.5" x14ac:dyDescent="0.55000000000000004">
      <c r="A105" s="5"/>
      <c r="B105" s="5" t="str">
        <f>'PH GPC RC 2024'!A454</f>
        <v>Racumin Unit PP Tray</v>
      </c>
      <c r="C105" s="38">
        <v>0</v>
      </c>
      <c r="D105" s="5" t="s">
        <v>105</v>
      </c>
      <c r="E105" s="5"/>
      <c r="F105" s="5"/>
      <c r="G105" s="5"/>
      <c r="I105" s="43">
        <f>'PH GPC RC 2024'!F454</f>
        <v>1963.0729166666665</v>
      </c>
      <c r="J105" s="43">
        <f t="shared" si="3"/>
        <v>0</v>
      </c>
      <c r="K105" s="43"/>
      <c r="L105" s="50"/>
      <c r="M105" s="5"/>
      <c r="N105" s="38"/>
      <c r="O105" s="6"/>
    </row>
    <row r="106" spans="1:15" ht="16.5" x14ac:dyDescent="0.55000000000000004">
      <c r="A106" s="5"/>
      <c r="B106" s="5" t="str">
        <f>'PH GPC RC 2024'!A461</f>
        <v>N/A</v>
      </c>
      <c r="C106" s="38">
        <v>0</v>
      </c>
      <c r="D106" s="5" t="s">
        <v>105</v>
      </c>
      <c r="E106" s="5"/>
      <c r="F106" s="5"/>
      <c r="G106" s="5"/>
      <c r="I106" s="43">
        <f>'PH GPC RC 2024'!F461</f>
        <v>0</v>
      </c>
      <c r="J106" s="43">
        <f t="shared" si="3"/>
        <v>0</v>
      </c>
      <c r="K106" s="43"/>
      <c r="L106" s="50"/>
      <c r="M106" s="5"/>
      <c r="N106" s="38"/>
      <c r="O106" s="6"/>
    </row>
    <row r="107" spans="1:15" ht="16.5" x14ac:dyDescent="0.55000000000000004">
      <c r="A107" s="5" t="s">
        <v>114</v>
      </c>
      <c r="B107" s="5" t="str">
        <f>'PH GPC RC 2024'!A509</f>
        <v>Unit Black Box</v>
      </c>
      <c r="C107" s="38">
        <v>0</v>
      </c>
      <c r="D107" s="5" t="s">
        <v>105</v>
      </c>
      <c r="E107" s="5"/>
      <c r="F107" s="5"/>
      <c r="G107" s="5"/>
      <c r="I107" s="43">
        <f>'PH GPC RC 2024'!F509</f>
        <v>10500</v>
      </c>
      <c r="J107" s="43">
        <f t="shared" si="3"/>
        <v>0</v>
      </c>
      <c r="K107" s="43"/>
      <c r="L107" s="50"/>
      <c r="M107" s="5"/>
      <c r="N107" s="38"/>
      <c r="O107" s="6"/>
    </row>
    <row r="108" spans="1:15" ht="16.5" x14ac:dyDescent="0.55000000000000004">
      <c r="A108" s="5"/>
      <c r="B108" s="5" t="str">
        <f>'PH GPC RC 2024'!A520</f>
        <v>Racumin Block Black Box</v>
      </c>
      <c r="C108" s="38">
        <v>0</v>
      </c>
      <c r="D108" s="5" t="s">
        <v>105</v>
      </c>
      <c r="E108" s="5"/>
      <c r="F108" s="5"/>
      <c r="G108" s="5"/>
      <c r="I108" s="43">
        <f>'PH GPC RC 2024'!F520</f>
        <v>1963.0729166666665</v>
      </c>
      <c r="J108" s="43">
        <f t="shared" si="3"/>
        <v>0</v>
      </c>
      <c r="K108" s="43"/>
      <c r="L108" s="50"/>
      <c r="M108" s="5"/>
      <c r="N108" s="38"/>
      <c r="O108" s="6"/>
    </row>
    <row r="109" spans="1:15" ht="16.5" x14ac:dyDescent="0.55000000000000004">
      <c r="A109" s="5"/>
      <c r="B109" s="5" t="str">
        <f>'PH GPC RC 2024'!A531</f>
        <v>N/A</v>
      </c>
      <c r="C109" s="38">
        <v>0</v>
      </c>
      <c r="D109" s="5" t="s">
        <v>105</v>
      </c>
      <c r="E109" s="5"/>
      <c r="F109" s="5"/>
      <c r="G109" s="5"/>
      <c r="I109" s="43">
        <f>'PH GPC RC 2024'!F531</f>
        <v>0</v>
      </c>
      <c r="J109" s="43">
        <f t="shared" si="3"/>
        <v>0</v>
      </c>
      <c r="K109" s="43"/>
      <c r="L109" s="50"/>
      <c r="M109" s="5"/>
      <c r="N109" s="38"/>
      <c r="O109" s="6"/>
    </row>
    <row r="110" spans="1:15" ht="16.5" x14ac:dyDescent="0.55000000000000004">
      <c r="A110" s="5" t="s">
        <v>115</v>
      </c>
      <c r="B110" s="5" t="str">
        <f>'PH GPC RC 2024'!A543</f>
        <v>Unit Block Perangkap Masal</v>
      </c>
      <c r="C110" s="38">
        <v>0</v>
      </c>
      <c r="D110" s="5" t="s">
        <v>105</v>
      </c>
      <c r="E110" s="5"/>
      <c r="F110" s="5"/>
      <c r="G110" s="5"/>
      <c r="I110" s="43">
        <f>'PH GPC RC 2024'!F543</f>
        <v>13500</v>
      </c>
      <c r="J110" s="43">
        <f t="shared" si="3"/>
        <v>0</v>
      </c>
      <c r="K110" s="43"/>
      <c r="L110" s="50"/>
      <c r="M110" s="5"/>
      <c r="N110" s="38"/>
      <c r="O110" s="6"/>
    </row>
    <row r="111" spans="1:15" ht="16.5" x14ac:dyDescent="0.55000000000000004">
      <c r="A111" s="5"/>
      <c r="B111" s="5" t="str">
        <f>'PH GPC RC 2024'!A554</f>
        <v>Racumin Block Perangkap Masal</v>
      </c>
      <c r="C111" s="38">
        <v>0</v>
      </c>
      <c r="D111" s="5" t="s">
        <v>105</v>
      </c>
      <c r="E111" s="5"/>
      <c r="F111" s="5"/>
      <c r="G111" s="5"/>
      <c r="I111" s="43">
        <f>'PH GPC RC 2024'!F554</f>
        <v>1963.0729166666665</v>
      </c>
      <c r="J111" s="43">
        <f t="shared" si="3"/>
        <v>0</v>
      </c>
      <c r="K111" s="43"/>
      <c r="L111" s="50"/>
      <c r="M111" s="5"/>
      <c r="N111" s="38"/>
      <c r="O111" s="6"/>
    </row>
    <row r="112" spans="1:15" ht="16.5" x14ac:dyDescent="0.55000000000000004">
      <c r="A112" s="5"/>
      <c r="B112" s="5" t="str">
        <f>'PH GPC RC 2024'!A566</f>
        <v>N/A</v>
      </c>
      <c r="C112" s="38">
        <v>0</v>
      </c>
      <c r="D112" s="5" t="s">
        <v>105</v>
      </c>
      <c r="E112" s="5"/>
      <c r="F112" s="5"/>
      <c r="G112" s="5"/>
      <c r="I112" s="43">
        <f>'PH GPC RC 2024'!F566</f>
        <v>0</v>
      </c>
      <c r="J112" s="43">
        <f t="shared" si="3"/>
        <v>0</v>
      </c>
      <c r="K112" s="43"/>
      <c r="L112" s="50"/>
      <c r="M112" s="5"/>
      <c r="N112" s="38"/>
      <c r="O112" s="6"/>
    </row>
    <row r="113" spans="1:15" ht="16.5" x14ac:dyDescent="0.55000000000000004">
      <c r="A113" s="5" t="s">
        <v>217</v>
      </c>
      <c r="B113" s="5" t="str">
        <f>'PH GPC RC 2024'!A578</f>
        <v>Unit Glue Box Segitiga</v>
      </c>
      <c r="C113" s="38">
        <v>0</v>
      </c>
      <c r="D113" s="5" t="s">
        <v>105</v>
      </c>
      <c r="E113" s="5"/>
      <c r="F113" s="5"/>
      <c r="G113" s="5"/>
      <c r="I113" s="43">
        <f>'PH GPC RC 2024'!F578</f>
        <v>4800</v>
      </c>
      <c r="J113" s="43">
        <f t="shared" si="3"/>
        <v>0</v>
      </c>
      <c r="K113" s="43"/>
      <c r="L113" s="50"/>
      <c r="M113" s="5"/>
      <c r="N113" s="38"/>
      <c r="O113" s="6"/>
    </row>
    <row r="114" spans="1:15" ht="16.5" x14ac:dyDescent="0.55000000000000004">
      <c r="A114" s="5"/>
      <c r="B114" s="5" t="str">
        <f>'PH GPC RC 2024'!A590</f>
        <v>Racumin Glue Box Segitiga</v>
      </c>
      <c r="C114" s="38">
        <v>0</v>
      </c>
      <c r="D114" s="5" t="s">
        <v>105</v>
      </c>
      <c r="E114" s="5"/>
      <c r="F114" s="5"/>
      <c r="G114" s="5"/>
      <c r="I114" s="43">
        <f>'PH GPC RC 2024'!F590</f>
        <v>5834.609375</v>
      </c>
      <c r="J114" s="43">
        <f t="shared" si="3"/>
        <v>0</v>
      </c>
      <c r="K114" s="43"/>
      <c r="L114" s="50"/>
      <c r="M114" s="5"/>
      <c r="N114" s="38"/>
      <c r="O114" s="6"/>
    </row>
    <row r="115" spans="1:15" ht="16.5" x14ac:dyDescent="0.55000000000000004">
      <c r="A115" s="5"/>
      <c r="B115" s="5" t="str">
        <f>'PH GPC RC 2024'!A601</f>
        <v>N/A</v>
      </c>
      <c r="C115" s="38">
        <v>0</v>
      </c>
      <c r="D115" s="5" t="s">
        <v>105</v>
      </c>
      <c r="E115" s="5"/>
      <c r="F115" s="5"/>
      <c r="G115" s="5"/>
      <c r="I115" s="43">
        <f>'PH GPC RC 2024'!F601</f>
        <v>0</v>
      </c>
      <c r="J115" s="43">
        <f t="shared" si="3"/>
        <v>0</v>
      </c>
      <c r="K115" s="43"/>
      <c r="L115" s="50"/>
      <c r="M115" s="5"/>
      <c r="N115" s="38"/>
      <c r="O115" s="6"/>
    </row>
    <row r="116" spans="1:15" ht="14.5" x14ac:dyDescent="0.35">
      <c r="A116" s="5"/>
      <c r="B116" s="5"/>
      <c r="C116" s="38"/>
      <c r="D116" s="5"/>
      <c r="E116" s="5"/>
      <c r="F116" s="5"/>
      <c r="G116" s="5"/>
      <c r="H116" s="5"/>
      <c r="I116" s="6"/>
      <c r="J116" s="6"/>
      <c r="K116" s="6"/>
      <c r="L116" s="5"/>
      <c r="M116" s="5"/>
      <c r="N116" s="38"/>
      <c r="O116" s="6"/>
    </row>
    <row r="117" spans="1:15" ht="14.5" x14ac:dyDescent="0.35">
      <c r="A117" s="5"/>
      <c r="B117" s="5"/>
      <c r="C117" s="38"/>
      <c r="D117" s="5"/>
      <c r="E117" s="5"/>
      <c r="F117" s="5"/>
      <c r="G117" s="5"/>
      <c r="H117" s="5"/>
      <c r="I117" s="6"/>
      <c r="J117" s="6"/>
      <c r="K117" s="6"/>
      <c r="L117" s="5"/>
      <c r="M117" s="5"/>
      <c r="N117" s="38"/>
      <c r="O117" s="6"/>
    </row>
    <row r="118" spans="1:15" ht="14.5" x14ac:dyDescent="0.35">
      <c r="A118" s="5"/>
      <c r="B118" s="5"/>
      <c r="C118" s="38"/>
      <c r="D118" s="5"/>
      <c r="E118" s="5"/>
      <c r="F118" s="5"/>
      <c r="G118" s="5"/>
      <c r="H118" s="5"/>
      <c r="I118" s="6"/>
      <c r="J118" s="6"/>
      <c r="K118" s="6"/>
      <c r="L118" s="5"/>
      <c r="M118" s="5"/>
      <c r="N118" s="38"/>
      <c r="O118" s="6"/>
    </row>
    <row r="119" spans="1:15" ht="14.5" x14ac:dyDescent="0.35">
      <c r="A119" s="5"/>
      <c r="B119" s="5"/>
      <c r="C119" s="38"/>
      <c r="D119" s="5"/>
      <c r="E119" s="5"/>
      <c r="F119" s="5"/>
      <c r="G119" s="5"/>
      <c r="H119" s="5"/>
      <c r="I119" s="6"/>
      <c r="J119" s="6"/>
      <c r="K119" s="6"/>
      <c r="L119" s="5"/>
      <c r="M119" s="5"/>
      <c r="N119" s="38"/>
      <c r="O119" s="6"/>
    </row>
    <row r="120" spans="1:15" ht="14.5" x14ac:dyDescent="0.35">
      <c r="A120" s="5"/>
      <c r="B120" s="5"/>
      <c r="C120" s="38"/>
      <c r="D120" s="5"/>
      <c r="E120" s="5"/>
      <c r="F120" s="5"/>
      <c r="G120" s="5"/>
      <c r="H120" s="5"/>
      <c r="I120" s="6"/>
      <c r="J120" s="6"/>
      <c r="K120" s="6"/>
      <c r="L120" s="5"/>
      <c r="M120" s="5"/>
      <c r="N120" s="38"/>
      <c r="O120" s="6"/>
    </row>
    <row r="121" spans="1:15" ht="14.5" x14ac:dyDescent="0.35">
      <c r="A121" s="46" t="s">
        <v>27</v>
      </c>
      <c r="B121" s="5" t="s">
        <v>91</v>
      </c>
      <c r="C121" s="38"/>
      <c r="D121" s="5"/>
      <c r="E121" s="5"/>
      <c r="F121" s="5"/>
      <c r="G121" s="5"/>
      <c r="H121" s="46"/>
      <c r="I121" s="45"/>
      <c r="J121" s="45"/>
      <c r="K121" s="45">
        <f>SUM(J122:J126)</f>
        <v>0</v>
      </c>
      <c r="L121" s="5"/>
      <c r="M121" s="5"/>
      <c r="N121" s="38"/>
      <c r="O121" s="6"/>
    </row>
    <row r="122" spans="1:15" ht="16.5" x14ac:dyDescent="0.55000000000000004">
      <c r="A122" s="5" t="str">
        <f>'PH Umum 2024'!A85</f>
        <v>Masker untuk Klien</v>
      </c>
      <c r="B122" s="5"/>
      <c r="C122" s="38">
        <v>0</v>
      </c>
      <c r="D122" s="5" t="s">
        <v>112</v>
      </c>
      <c r="E122" s="5"/>
      <c r="F122" s="5"/>
      <c r="G122" s="5"/>
      <c r="H122" s="5"/>
      <c r="I122" s="6">
        <f>'PH Umum 2024'!F85</f>
        <v>1000</v>
      </c>
      <c r="J122" s="6">
        <f t="shared" ref="J122:J126" si="4">C122*I122</f>
        <v>0</v>
      </c>
      <c r="K122" s="6"/>
      <c r="L122" s="50"/>
      <c r="M122" s="5"/>
      <c r="N122" s="38"/>
      <c r="O122" s="6"/>
    </row>
    <row r="123" spans="1:15" ht="16.5" x14ac:dyDescent="0.55000000000000004">
      <c r="A123" s="5" t="str">
        <f>'PH Umum 2024'!A97</f>
        <v>Company Profile</v>
      </c>
      <c r="B123" s="5"/>
      <c r="C123" s="38">
        <v>0</v>
      </c>
      <c r="D123" s="5" t="s">
        <v>112</v>
      </c>
      <c r="E123" s="5"/>
      <c r="F123" s="5"/>
      <c r="G123" s="5"/>
      <c r="H123" s="5"/>
      <c r="I123" s="6">
        <f>'PH Umum 2024'!F97</f>
        <v>10000</v>
      </c>
      <c r="J123" s="6">
        <f t="shared" si="4"/>
        <v>0</v>
      </c>
      <c r="K123" s="6"/>
      <c r="L123" s="50"/>
      <c r="M123" s="5"/>
      <c r="N123" s="38"/>
      <c r="O123" s="6"/>
    </row>
    <row r="124" spans="1:15" ht="16.5" x14ac:dyDescent="0.55000000000000004">
      <c r="A124" s="5" t="str">
        <f>'PH Umum 2024'!A109</f>
        <v>Laporan/SPK/Surat/Kontrak</v>
      </c>
      <c r="B124" s="5"/>
      <c r="C124" s="38">
        <v>0</v>
      </c>
      <c r="D124" s="5" t="s">
        <v>112</v>
      </c>
      <c r="E124" s="5"/>
      <c r="F124" s="5"/>
      <c r="G124" s="5"/>
      <c r="H124" s="5"/>
      <c r="I124" s="6">
        <f>'PH Umum 2024'!F109</f>
        <v>5000</v>
      </c>
      <c r="J124" s="6">
        <f t="shared" si="4"/>
        <v>0</v>
      </c>
      <c r="K124" s="6"/>
      <c r="L124" s="50"/>
      <c r="M124" s="5"/>
      <c r="N124" s="38"/>
      <c r="O124" s="6"/>
    </row>
    <row r="125" spans="1:15" ht="16.5" x14ac:dyDescent="0.55000000000000004">
      <c r="A125" s="5" t="str">
        <f>'PH Umum 2024'!A121</f>
        <v>BAP</v>
      </c>
      <c r="B125" s="5"/>
      <c r="C125" s="38">
        <v>0</v>
      </c>
      <c r="D125" s="5" t="s">
        <v>105</v>
      </c>
      <c r="E125" s="5"/>
      <c r="F125" s="5"/>
      <c r="G125" s="5"/>
      <c r="H125" s="5"/>
      <c r="I125" s="6">
        <f>'PH Umum 2024'!F121</f>
        <v>50000</v>
      </c>
      <c r="J125" s="6">
        <f t="shared" si="4"/>
        <v>0</v>
      </c>
      <c r="K125" s="6"/>
      <c r="L125" s="50"/>
      <c r="M125" s="5"/>
      <c r="N125" s="38"/>
      <c r="O125" s="6"/>
    </row>
    <row r="126" spans="1:15" ht="16.5" x14ac:dyDescent="0.55000000000000004">
      <c r="A126" s="5" t="str">
        <f>'PH Umum 2024'!A133</f>
        <v>LOG BOOK</v>
      </c>
      <c r="B126" s="5"/>
      <c r="C126" s="38">
        <v>0</v>
      </c>
      <c r="D126" s="5" t="s">
        <v>105</v>
      </c>
      <c r="E126" s="5"/>
      <c r="F126" s="5"/>
      <c r="G126" s="5"/>
      <c r="H126" s="5"/>
      <c r="I126" s="6">
        <f>'PH Umum 2024'!F133</f>
        <v>20000</v>
      </c>
      <c r="J126" s="6">
        <f t="shared" si="4"/>
        <v>0</v>
      </c>
      <c r="K126" s="6"/>
      <c r="L126" s="50"/>
      <c r="M126" s="5"/>
      <c r="N126" s="38"/>
      <c r="O126" s="6"/>
    </row>
    <row r="127" spans="1:15" ht="14.5" x14ac:dyDescent="0.35">
      <c r="A127" s="5"/>
      <c r="B127" s="5"/>
      <c r="C127" s="38"/>
      <c r="D127" s="5"/>
      <c r="E127" s="5"/>
      <c r="F127" s="5"/>
      <c r="G127" s="5"/>
      <c r="H127" s="5"/>
      <c r="I127" s="6"/>
      <c r="J127" s="6"/>
      <c r="K127" s="6"/>
      <c r="L127" s="5"/>
      <c r="M127" s="5"/>
      <c r="N127" s="38"/>
      <c r="O127" s="6"/>
    </row>
    <row r="128" spans="1:15" ht="14.5" x14ac:dyDescent="0.35">
      <c r="A128" s="5"/>
      <c r="B128" s="5"/>
      <c r="C128" s="38"/>
      <c r="D128" s="5"/>
      <c r="E128" s="5"/>
      <c r="F128" s="5"/>
      <c r="G128" s="5"/>
      <c r="H128" s="5"/>
      <c r="I128" s="6"/>
      <c r="J128" s="6"/>
      <c r="K128" s="6"/>
      <c r="L128" s="5"/>
      <c r="M128" s="5"/>
      <c r="N128" s="38"/>
      <c r="O128" s="6"/>
    </row>
    <row r="129" spans="1:15" ht="14.5" x14ac:dyDescent="0.35">
      <c r="A129" s="5"/>
      <c r="B129" s="5"/>
      <c r="C129" s="38"/>
      <c r="D129" s="5"/>
      <c r="E129" s="5"/>
      <c r="F129" s="5"/>
      <c r="G129" s="5"/>
      <c r="H129" s="5"/>
      <c r="I129" s="6"/>
      <c r="J129" s="6"/>
      <c r="K129" s="6"/>
      <c r="L129" s="5"/>
      <c r="M129" s="5"/>
      <c r="N129" s="38"/>
      <c r="O129" s="6"/>
    </row>
    <row r="130" spans="1:15" ht="14.5" x14ac:dyDescent="0.35">
      <c r="A130" s="5"/>
      <c r="B130" s="5"/>
      <c r="C130" s="38"/>
      <c r="D130" s="5"/>
      <c r="E130" s="5"/>
      <c r="F130" s="5"/>
      <c r="G130" s="5"/>
      <c r="H130" s="5"/>
      <c r="I130" s="6"/>
      <c r="J130" s="6"/>
      <c r="K130" s="6"/>
      <c r="L130" s="5"/>
      <c r="M130" s="5"/>
      <c r="N130" s="38"/>
      <c r="O130" s="6"/>
    </row>
    <row r="131" spans="1:15" ht="14.5" x14ac:dyDescent="0.35">
      <c r="A131" s="5"/>
      <c r="B131" s="5"/>
      <c r="C131" s="38"/>
      <c r="D131" s="5"/>
      <c r="E131" s="5"/>
      <c r="F131" s="5"/>
      <c r="G131" s="5"/>
      <c r="H131" s="5"/>
      <c r="I131" s="6"/>
      <c r="J131" s="6"/>
      <c r="K131" s="6"/>
      <c r="L131" s="5"/>
      <c r="M131" s="5"/>
      <c r="N131" s="38"/>
      <c r="O131" s="6"/>
    </row>
    <row r="132" spans="1:15" ht="14.5" x14ac:dyDescent="0.35">
      <c r="A132" s="5"/>
      <c r="B132" s="5"/>
      <c r="C132" s="38"/>
      <c r="D132" s="5"/>
      <c r="E132" s="5"/>
      <c r="F132" s="5"/>
      <c r="G132" s="5"/>
      <c r="H132" s="5"/>
      <c r="I132" s="6"/>
      <c r="J132" s="6"/>
      <c r="K132" s="6"/>
      <c r="L132" s="5"/>
      <c r="M132" s="5"/>
      <c r="N132" s="38"/>
      <c r="O132" s="6"/>
    </row>
    <row r="133" spans="1:15" ht="14.5" x14ac:dyDescent="0.35">
      <c r="A133" s="5"/>
      <c r="B133" s="5"/>
      <c r="C133" s="38"/>
      <c r="D133" s="5"/>
      <c r="E133" s="5"/>
      <c r="F133" s="5"/>
      <c r="G133" s="5"/>
      <c r="H133" s="5"/>
      <c r="I133" s="6"/>
      <c r="J133" s="6"/>
      <c r="K133" s="6"/>
      <c r="L133" s="5"/>
      <c r="M133" s="5"/>
      <c r="N133" s="38"/>
      <c r="O133" s="6"/>
    </row>
    <row r="134" spans="1:15" x14ac:dyDescent="0.25">
      <c r="C134" s="31"/>
      <c r="I134" s="43"/>
      <c r="J134" s="43"/>
      <c r="K134" s="43"/>
      <c r="N134" s="31"/>
      <c r="O134" s="43"/>
    </row>
    <row r="135" spans="1:15" x14ac:dyDescent="0.25">
      <c r="C135" s="31"/>
      <c r="I135" s="43"/>
      <c r="J135" s="43"/>
      <c r="K135" s="43"/>
      <c r="N135" s="31"/>
      <c r="O135" s="43"/>
    </row>
    <row r="136" spans="1:15" x14ac:dyDescent="0.25">
      <c r="C136" s="31"/>
      <c r="I136" s="43"/>
      <c r="J136" s="43"/>
      <c r="K136" s="43"/>
      <c r="N136" s="31"/>
      <c r="O136" s="43"/>
    </row>
    <row r="137" spans="1:15" x14ac:dyDescent="0.25">
      <c r="C137" s="31"/>
      <c r="I137" s="43"/>
      <c r="J137" s="43"/>
      <c r="K137" s="43"/>
      <c r="N137" s="31"/>
      <c r="O137" s="43"/>
    </row>
    <row r="138" spans="1:15" x14ac:dyDescent="0.25">
      <c r="C138" s="31"/>
      <c r="I138" s="43"/>
      <c r="J138" s="43"/>
      <c r="K138" s="43"/>
      <c r="N138" s="31"/>
      <c r="O138" s="43"/>
    </row>
    <row r="139" spans="1:15" x14ac:dyDescent="0.25">
      <c r="C139" s="31"/>
      <c r="I139" s="43"/>
      <c r="J139" s="43"/>
      <c r="K139" s="43"/>
      <c r="N139" s="31"/>
      <c r="O139" s="43"/>
    </row>
    <row r="140" spans="1:15" x14ac:dyDescent="0.25">
      <c r="C140" s="31"/>
      <c r="I140" s="43"/>
      <c r="J140" s="43"/>
      <c r="K140" s="43"/>
      <c r="N140" s="31"/>
      <c r="O140" s="43"/>
    </row>
    <row r="141" spans="1:15" x14ac:dyDescent="0.25">
      <c r="C141" s="31"/>
      <c r="I141" s="43"/>
      <c r="J141" s="43"/>
      <c r="K141" s="43"/>
      <c r="N141" s="31"/>
      <c r="O141" s="43"/>
    </row>
    <row r="142" spans="1:15" x14ac:dyDescent="0.25">
      <c r="C142" s="31"/>
      <c r="I142" s="43"/>
      <c r="J142" s="43"/>
      <c r="K142" s="43"/>
      <c r="N142" s="31"/>
      <c r="O142" s="43"/>
    </row>
    <row r="143" spans="1:15" x14ac:dyDescent="0.25">
      <c r="C143" s="31"/>
      <c r="I143" s="43"/>
      <c r="J143" s="43"/>
      <c r="K143" s="43"/>
      <c r="N143" s="31"/>
      <c r="O143" s="43"/>
    </row>
    <row r="144" spans="1:15" x14ac:dyDescent="0.25">
      <c r="C144" s="31"/>
      <c r="I144" s="43"/>
      <c r="J144" s="43"/>
      <c r="K144" s="43"/>
      <c r="N144" s="31"/>
      <c r="O144" s="43"/>
    </row>
    <row r="145" spans="3:15" x14ac:dyDescent="0.25">
      <c r="C145" s="31"/>
      <c r="I145" s="43"/>
      <c r="J145" s="43"/>
      <c r="K145" s="43"/>
      <c r="N145" s="31"/>
      <c r="O145" s="43"/>
    </row>
    <row r="146" spans="3:15" x14ac:dyDescent="0.25">
      <c r="C146" s="31"/>
      <c r="I146" s="43"/>
      <c r="J146" s="43"/>
      <c r="K146" s="43"/>
      <c r="N146" s="31"/>
      <c r="O146" s="43"/>
    </row>
    <row r="147" spans="3:15" x14ac:dyDescent="0.25">
      <c r="C147" s="31"/>
      <c r="I147" s="43"/>
      <c r="J147" s="43"/>
      <c r="K147" s="43"/>
      <c r="N147" s="31"/>
      <c r="O147" s="43"/>
    </row>
    <row r="148" spans="3:15" x14ac:dyDescent="0.25">
      <c r="C148" s="31"/>
      <c r="I148" s="43"/>
      <c r="J148" s="43"/>
      <c r="K148" s="43"/>
      <c r="N148" s="31"/>
      <c r="O148" s="43"/>
    </row>
    <row r="149" spans="3:15" x14ac:dyDescent="0.25">
      <c r="C149" s="31"/>
      <c r="I149" s="43"/>
      <c r="J149" s="43"/>
      <c r="K149" s="43"/>
      <c r="N149" s="31"/>
      <c r="O149" s="43"/>
    </row>
    <row r="150" spans="3:15" x14ac:dyDescent="0.25">
      <c r="C150" s="31"/>
      <c r="I150" s="43"/>
      <c r="J150" s="43"/>
      <c r="K150" s="43"/>
      <c r="N150" s="31"/>
      <c r="O150" s="43"/>
    </row>
    <row r="151" spans="3:15" x14ac:dyDescent="0.25">
      <c r="C151" s="31"/>
      <c r="I151" s="43"/>
      <c r="J151" s="43"/>
      <c r="K151" s="43"/>
      <c r="N151" s="31"/>
      <c r="O151" s="43"/>
    </row>
    <row r="152" spans="3:15" x14ac:dyDescent="0.25">
      <c r="C152" s="31"/>
      <c r="I152" s="43"/>
      <c r="J152" s="43"/>
      <c r="K152" s="43"/>
      <c r="N152" s="31"/>
      <c r="O152" s="43"/>
    </row>
    <row r="153" spans="3:15" x14ac:dyDescent="0.25">
      <c r="C153" s="31"/>
      <c r="I153" s="43"/>
      <c r="J153" s="43"/>
      <c r="K153" s="43"/>
      <c r="N153" s="31"/>
      <c r="O153" s="43"/>
    </row>
    <row r="154" spans="3:15" x14ac:dyDescent="0.25">
      <c r="C154" s="31"/>
      <c r="I154" s="43"/>
      <c r="J154" s="43"/>
      <c r="K154" s="43"/>
      <c r="N154" s="31"/>
      <c r="O154" s="43"/>
    </row>
    <row r="155" spans="3:15" x14ac:dyDescent="0.25">
      <c r="C155" s="31"/>
      <c r="I155" s="43"/>
      <c r="J155" s="43"/>
      <c r="K155" s="43"/>
      <c r="N155" s="31"/>
      <c r="O155" s="43"/>
    </row>
    <row r="156" spans="3:15" x14ac:dyDescent="0.25">
      <c r="C156" s="31"/>
      <c r="I156" s="43"/>
      <c r="J156" s="43"/>
      <c r="K156" s="43"/>
      <c r="N156" s="31"/>
      <c r="O156" s="43"/>
    </row>
    <row r="157" spans="3:15" x14ac:dyDescent="0.25">
      <c r="C157" s="31"/>
      <c r="I157" s="43"/>
      <c r="J157" s="43"/>
      <c r="K157" s="43"/>
      <c r="N157" s="31"/>
      <c r="O157" s="43"/>
    </row>
    <row r="158" spans="3:15" x14ac:dyDescent="0.25">
      <c r="C158" s="31"/>
      <c r="I158" s="43"/>
      <c r="J158" s="43"/>
      <c r="K158" s="43"/>
      <c r="N158" s="31"/>
      <c r="O158" s="43"/>
    </row>
    <row r="159" spans="3:15" x14ac:dyDescent="0.25">
      <c r="C159" s="31"/>
      <c r="I159" s="43"/>
      <c r="J159" s="43"/>
      <c r="K159" s="43"/>
      <c r="N159" s="31"/>
      <c r="O159" s="43"/>
    </row>
    <row r="160" spans="3:15" x14ac:dyDescent="0.25">
      <c r="C160" s="31"/>
      <c r="I160" s="43"/>
      <c r="J160" s="43"/>
      <c r="K160" s="43"/>
      <c r="N160" s="31"/>
      <c r="O160" s="43"/>
    </row>
    <row r="161" spans="3:15" x14ac:dyDescent="0.25">
      <c r="C161" s="31"/>
      <c r="I161" s="43"/>
      <c r="J161" s="43"/>
      <c r="K161" s="43"/>
      <c r="N161" s="31"/>
      <c r="O161" s="43"/>
    </row>
    <row r="162" spans="3:15" x14ac:dyDescent="0.25">
      <c r="C162" s="31"/>
      <c r="I162" s="43"/>
      <c r="J162" s="43"/>
      <c r="K162" s="43"/>
      <c r="N162" s="31"/>
      <c r="O162" s="43"/>
    </row>
    <row r="163" spans="3:15" x14ac:dyDescent="0.25">
      <c r="C163" s="31"/>
      <c r="I163" s="43"/>
      <c r="J163" s="43"/>
      <c r="K163" s="43"/>
      <c r="N163" s="31"/>
      <c r="O163" s="43"/>
    </row>
    <row r="164" spans="3:15" x14ac:dyDescent="0.25">
      <c r="C164" s="31"/>
      <c r="I164" s="43"/>
      <c r="J164" s="43"/>
      <c r="K164" s="43"/>
      <c r="N164" s="31"/>
      <c r="O164" s="43"/>
    </row>
    <row r="165" spans="3:15" x14ac:dyDescent="0.25">
      <c r="C165" s="31"/>
      <c r="I165" s="43"/>
      <c r="J165" s="43"/>
      <c r="K165" s="43"/>
      <c r="N165" s="31"/>
      <c r="O165" s="43"/>
    </row>
    <row r="166" spans="3:15" x14ac:dyDescent="0.25">
      <c r="C166" s="31"/>
      <c r="I166" s="43"/>
      <c r="J166" s="43"/>
      <c r="K166" s="43"/>
      <c r="N166" s="31"/>
      <c r="O166" s="43"/>
    </row>
    <row r="167" spans="3:15" x14ac:dyDescent="0.25">
      <c r="C167" s="31"/>
      <c r="I167" s="43"/>
      <c r="J167" s="43"/>
      <c r="K167" s="43"/>
      <c r="N167" s="31"/>
      <c r="O167" s="43"/>
    </row>
    <row r="168" spans="3:15" x14ac:dyDescent="0.25">
      <c r="C168" s="31"/>
      <c r="I168" s="43"/>
      <c r="J168" s="43"/>
      <c r="K168" s="43"/>
      <c r="N168" s="31"/>
      <c r="O168" s="43"/>
    </row>
    <row r="169" spans="3:15" x14ac:dyDescent="0.25">
      <c r="C169" s="31"/>
      <c r="I169" s="43"/>
      <c r="J169" s="43"/>
      <c r="K169" s="43"/>
      <c r="N169" s="31"/>
      <c r="O169" s="43"/>
    </row>
    <row r="170" spans="3:15" x14ac:dyDescent="0.25">
      <c r="C170" s="31"/>
      <c r="I170" s="43"/>
      <c r="J170" s="43"/>
      <c r="K170" s="43"/>
      <c r="N170" s="31"/>
      <c r="O170" s="43"/>
    </row>
    <row r="171" spans="3:15" x14ac:dyDescent="0.25">
      <c r="C171" s="31"/>
      <c r="I171" s="43"/>
      <c r="J171" s="43"/>
      <c r="K171" s="43"/>
      <c r="N171" s="31"/>
      <c r="O171" s="43"/>
    </row>
    <row r="172" spans="3:15" x14ac:dyDescent="0.25">
      <c r="C172" s="31"/>
      <c r="I172" s="43"/>
      <c r="J172" s="43"/>
      <c r="K172" s="43"/>
      <c r="N172" s="31"/>
      <c r="O172" s="43"/>
    </row>
    <row r="173" spans="3:15" x14ac:dyDescent="0.25">
      <c r="C173" s="31"/>
      <c r="I173" s="43"/>
      <c r="J173" s="43"/>
      <c r="K173" s="43"/>
      <c r="N173" s="31"/>
      <c r="O173" s="43"/>
    </row>
    <row r="174" spans="3:15" x14ac:dyDescent="0.25">
      <c r="C174" s="31"/>
      <c r="I174" s="43"/>
      <c r="J174" s="43"/>
      <c r="K174" s="43"/>
      <c r="N174" s="31"/>
      <c r="O174" s="43"/>
    </row>
    <row r="175" spans="3:15" x14ac:dyDescent="0.25">
      <c r="C175" s="31"/>
      <c r="I175" s="43"/>
      <c r="J175" s="43"/>
      <c r="K175" s="43"/>
      <c r="N175" s="31"/>
      <c r="O175" s="43"/>
    </row>
    <row r="176" spans="3:15" x14ac:dyDescent="0.25">
      <c r="C176" s="31"/>
      <c r="I176" s="43"/>
      <c r="J176" s="43"/>
      <c r="K176" s="43"/>
      <c r="N176" s="31"/>
      <c r="O176" s="43"/>
    </row>
    <row r="177" spans="3:15" x14ac:dyDescent="0.25">
      <c r="C177" s="31"/>
      <c r="I177" s="43"/>
      <c r="J177" s="43"/>
      <c r="K177" s="43"/>
      <c r="N177" s="31"/>
      <c r="O177" s="43"/>
    </row>
    <row r="178" spans="3:15" x14ac:dyDescent="0.25">
      <c r="C178" s="31"/>
      <c r="I178" s="43"/>
      <c r="J178" s="43"/>
      <c r="K178" s="43"/>
      <c r="N178" s="31"/>
      <c r="O178" s="43"/>
    </row>
    <row r="179" spans="3:15" x14ac:dyDescent="0.25">
      <c r="C179" s="31"/>
      <c r="I179" s="43"/>
      <c r="J179" s="43"/>
      <c r="K179" s="43"/>
      <c r="N179" s="31"/>
      <c r="O179" s="43"/>
    </row>
    <row r="180" spans="3:15" x14ac:dyDescent="0.25">
      <c r="C180" s="31"/>
      <c r="I180" s="43"/>
      <c r="J180" s="43"/>
      <c r="K180" s="43"/>
      <c r="N180" s="31"/>
      <c r="O180" s="43"/>
    </row>
    <row r="181" spans="3:15" x14ac:dyDescent="0.25">
      <c r="C181" s="31"/>
      <c r="I181" s="43"/>
      <c r="J181" s="43"/>
      <c r="K181" s="43"/>
      <c r="N181" s="31"/>
      <c r="O181" s="43"/>
    </row>
    <row r="182" spans="3:15" x14ac:dyDescent="0.25">
      <c r="C182" s="31"/>
      <c r="I182" s="43"/>
      <c r="J182" s="43"/>
      <c r="K182" s="43"/>
      <c r="N182" s="31"/>
      <c r="O182" s="43"/>
    </row>
    <row r="183" spans="3:15" x14ac:dyDescent="0.25">
      <c r="C183" s="31"/>
      <c r="I183" s="43"/>
      <c r="J183" s="43"/>
      <c r="K183" s="43"/>
      <c r="N183" s="31"/>
      <c r="O183" s="43"/>
    </row>
    <row r="184" spans="3:15" x14ac:dyDescent="0.25">
      <c r="C184" s="31"/>
      <c r="I184" s="43"/>
      <c r="J184" s="43"/>
      <c r="K184" s="43"/>
      <c r="N184" s="31"/>
      <c r="O184" s="43"/>
    </row>
    <row r="185" spans="3:15" x14ac:dyDescent="0.25">
      <c r="C185" s="31"/>
      <c r="I185" s="43"/>
      <c r="J185" s="43"/>
      <c r="K185" s="43"/>
      <c r="N185" s="31"/>
      <c r="O185" s="43"/>
    </row>
    <row r="186" spans="3:15" x14ac:dyDescent="0.25">
      <c r="C186" s="31"/>
      <c r="I186" s="43"/>
      <c r="J186" s="43"/>
      <c r="K186" s="43"/>
      <c r="N186" s="31"/>
      <c r="O186" s="43"/>
    </row>
    <row r="187" spans="3:15" x14ac:dyDescent="0.25">
      <c r="C187" s="31"/>
      <c r="I187" s="43"/>
      <c r="J187" s="43"/>
      <c r="K187" s="43"/>
      <c r="N187" s="31"/>
      <c r="O187" s="43"/>
    </row>
    <row r="188" spans="3:15" x14ac:dyDescent="0.25">
      <c r="C188" s="31"/>
      <c r="I188" s="43"/>
      <c r="J188" s="43"/>
      <c r="K188" s="43"/>
      <c r="N188" s="31"/>
      <c r="O188" s="43"/>
    </row>
    <row r="189" spans="3:15" x14ac:dyDescent="0.25">
      <c r="C189" s="31"/>
      <c r="I189" s="43"/>
      <c r="J189" s="43"/>
      <c r="K189" s="43"/>
      <c r="N189" s="31"/>
      <c r="O189" s="43"/>
    </row>
    <row r="190" spans="3:15" x14ac:dyDescent="0.25">
      <c r="C190" s="31"/>
      <c r="I190" s="43"/>
      <c r="J190" s="43"/>
      <c r="K190" s="43"/>
      <c r="N190" s="31"/>
      <c r="O190" s="43"/>
    </row>
    <row r="191" spans="3:15" x14ac:dyDescent="0.25">
      <c r="C191" s="31"/>
      <c r="I191" s="43"/>
      <c r="J191" s="43"/>
      <c r="K191" s="43"/>
      <c r="N191" s="31"/>
      <c r="O191" s="43"/>
    </row>
    <row r="192" spans="3:15" x14ac:dyDescent="0.25">
      <c r="C192" s="31"/>
      <c r="I192" s="43"/>
      <c r="J192" s="43"/>
      <c r="K192" s="43"/>
      <c r="N192" s="31"/>
      <c r="O192" s="43"/>
    </row>
    <row r="193" spans="3:15" x14ac:dyDescent="0.25">
      <c r="C193" s="31"/>
      <c r="I193" s="43"/>
      <c r="J193" s="43"/>
      <c r="K193" s="43"/>
      <c r="N193" s="31"/>
      <c r="O193" s="43"/>
    </row>
    <row r="194" spans="3:15" x14ac:dyDescent="0.25">
      <c r="C194" s="31"/>
      <c r="I194" s="43"/>
      <c r="J194" s="43"/>
      <c r="K194" s="43"/>
      <c r="N194" s="31"/>
      <c r="O194" s="43"/>
    </row>
    <row r="195" spans="3:15" x14ac:dyDescent="0.25">
      <c r="C195" s="31"/>
      <c r="I195" s="43"/>
      <c r="J195" s="43"/>
      <c r="K195" s="43"/>
      <c r="N195" s="31"/>
      <c r="O195" s="43"/>
    </row>
    <row r="196" spans="3:15" x14ac:dyDescent="0.25">
      <c r="C196" s="31"/>
      <c r="I196" s="43"/>
      <c r="J196" s="43"/>
      <c r="K196" s="43"/>
      <c r="N196" s="31"/>
      <c r="O196" s="43"/>
    </row>
    <row r="197" spans="3:15" x14ac:dyDescent="0.25">
      <c r="C197" s="31"/>
      <c r="I197" s="43"/>
      <c r="J197" s="43"/>
      <c r="K197" s="43"/>
      <c r="N197" s="31"/>
      <c r="O197" s="43"/>
    </row>
    <row r="198" spans="3:15" x14ac:dyDescent="0.25">
      <c r="C198" s="31"/>
      <c r="I198" s="43"/>
      <c r="J198" s="43"/>
      <c r="K198" s="43"/>
      <c r="N198" s="31"/>
      <c r="O198" s="43"/>
    </row>
    <row r="199" spans="3:15" x14ac:dyDescent="0.25">
      <c r="C199" s="31"/>
      <c r="I199" s="43"/>
      <c r="J199" s="43"/>
      <c r="K199" s="43"/>
      <c r="N199" s="31"/>
      <c r="O199" s="43"/>
    </row>
    <row r="200" spans="3:15" x14ac:dyDescent="0.25">
      <c r="C200" s="31"/>
      <c r="I200" s="43"/>
      <c r="J200" s="43"/>
      <c r="K200" s="43"/>
      <c r="N200" s="31"/>
      <c r="O200" s="43"/>
    </row>
    <row r="201" spans="3:15" x14ac:dyDescent="0.25">
      <c r="C201" s="31"/>
      <c r="I201" s="43"/>
      <c r="J201" s="43"/>
      <c r="K201" s="43"/>
      <c r="N201" s="31"/>
      <c r="O201" s="43"/>
    </row>
    <row r="202" spans="3:15" x14ac:dyDescent="0.25">
      <c r="C202" s="31"/>
      <c r="I202" s="43"/>
      <c r="J202" s="43"/>
      <c r="K202" s="43"/>
      <c r="N202" s="31"/>
      <c r="O202" s="43"/>
    </row>
    <row r="203" spans="3:15" x14ac:dyDescent="0.25">
      <c r="C203" s="31"/>
      <c r="I203" s="43"/>
      <c r="J203" s="43"/>
      <c r="K203" s="43"/>
      <c r="N203" s="31"/>
      <c r="O203" s="43"/>
    </row>
    <row r="204" spans="3:15" x14ac:dyDescent="0.25">
      <c r="C204" s="31"/>
      <c r="I204" s="43"/>
      <c r="J204" s="43"/>
      <c r="K204" s="43"/>
      <c r="N204" s="31"/>
      <c r="O204" s="43"/>
    </row>
    <row r="205" spans="3:15" x14ac:dyDescent="0.25">
      <c r="C205" s="31"/>
      <c r="I205" s="43"/>
      <c r="J205" s="43"/>
      <c r="K205" s="43"/>
      <c r="N205" s="31"/>
      <c r="O205" s="43"/>
    </row>
    <row r="206" spans="3:15" x14ac:dyDescent="0.25">
      <c r="C206" s="31"/>
      <c r="I206" s="43"/>
      <c r="J206" s="43"/>
      <c r="K206" s="43"/>
      <c r="N206" s="31"/>
      <c r="O206" s="43"/>
    </row>
    <row r="207" spans="3:15" x14ac:dyDescent="0.25">
      <c r="C207" s="31"/>
      <c r="I207" s="43"/>
      <c r="J207" s="43"/>
      <c r="K207" s="43"/>
      <c r="N207" s="31"/>
      <c r="O207" s="43"/>
    </row>
    <row r="208" spans="3:15" x14ac:dyDescent="0.25">
      <c r="C208" s="31"/>
      <c r="I208" s="43"/>
      <c r="J208" s="43"/>
      <c r="K208" s="43"/>
      <c r="N208" s="31"/>
      <c r="O208" s="43"/>
    </row>
    <row r="209" spans="3:15" x14ac:dyDescent="0.25">
      <c r="C209" s="31"/>
      <c r="I209" s="43"/>
      <c r="J209" s="43"/>
      <c r="K209" s="43"/>
      <c r="N209" s="31"/>
      <c r="O209" s="43"/>
    </row>
    <row r="210" spans="3:15" x14ac:dyDescent="0.25">
      <c r="C210" s="31"/>
      <c r="I210" s="43"/>
      <c r="J210" s="43"/>
      <c r="K210" s="43"/>
      <c r="N210" s="31"/>
      <c r="O210" s="43"/>
    </row>
    <row r="211" spans="3:15" x14ac:dyDescent="0.25">
      <c r="C211" s="31"/>
      <c r="I211" s="43"/>
      <c r="J211" s="43"/>
      <c r="K211" s="43"/>
      <c r="N211" s="31"/>
      <c r="O211" s="43"/>
    </row>
    <row r="212" spans="3:15" x14ac:dyDescent="0.25">
      <c r="C212" s="31"/>
      <c r="I212" s="43"/>
      <c r="J212" s="43"/>
      <c r="K212" s="43"/>
      <c r="N212" s="31"/>
      <c r="O212" s="43"/>
    </row>
    <row r="213" spans="3:15" x14ac:dyDescent="0.25">
      <c r="C213" s="31"/>
      <c r="I213" s="43"/>
      <c r="J213" s="43"/>
      <c r="K213" s="43"/>
      <c r="N213" s="31"/>
      <c r="O213" s="43"/>
    </row>
    <row r="214" spans="3:15" x14ac:dyDescent="0.25">
      <c r="C214" s="31"/>
      <c r="I214" s="43"/>
      <c r="J214" s="43"/>
      <c r="K214" s="43"/>
      <c r="N214" s="31"/>
      <c r="O214" s="43"/>
    </row>
    <row r="215" spans="3:15" x14ac:dyDescent="0.25">
      <c r="C215" s="31"/>
      <c r="I215" s="43"/>
      <c r="J215" s="43"/>
      <c r="K215" s="43"/>
      <c r="N215" s="31"/>
      <c r="O215" s="43"/>
    </row>
    <row r="216" spans="3:15" x14ac:dyDescent="0.25">
      <c r="C216" s="31"/>
      <c r="I216" s="43"/>
      <c r="J216" s="43"/>
      <c r="K216" s="43"/>
      <c r="N216" s="31"/>
      <c r="O216" s="43"/>
    </row>
    <row r="217" spans="3:15" x14ac:dyDescent="0.25">
      <c r="C217" s="31"/>
      <c r="I217" s="43"/>
      <c r="J217" s="43"/>
      <c r="K217" s="43"/>
      <c r="N217" s="31"/>
      <c r="O217" s="43"/>
    </row>
    <row r="218" spans="3:15" x14ac:dyDescent="0.25">
      <c r="C218" s="31"/>
      <c r="I218" s="43"/>
      <c r="J218" s="43"/>
      <c r="K218" s="43"/>
      <c r="N218" s="31"/>
      <c r="O218" s="43"/>
    </row>
    <row r="219" spans="3:15" x14ac:dyDescent="0.25">
      <c r="C219" s="31"/>
      <c r="I219" s="43"/>
      <c r="J219" s="43"/>
      <c r="K219" s="43"/>
      <c r="N219" s="31"/>
      <c r="O219" s="43"/>
    </row>
    <row r="220" spans="3:15" x14ac:dyDescent="0.25">
      <c r="C220" s="31"/>
      <c r="I220" s="43"/>
      <c r="J220" s="43"/>
      <c r="K220" s="43"/>
      <c r="N220" s="31"/>
      <c r="O220" s="43"/>
    </row>
    <row r="221" spans="3:15" x14ac:dyDescent="0.25">
      <c r="C221" s="31"/>
      <c r="I221" s="43"/>
      <c r="J221" s="43"/>
      <c r="K221" s="43"/>
      <c r="N221" s="31"/>
      <c r="O221" s="43"/>
    </row>
    <row r="222" spans="3:15" x14ac:dyDescent="0.25">
      <c r="C222" s="31"/>
      <c r="I222" s="43"/>
      <c r="J222" s="43"/>
      <c r="K222" s="43"/>
      <c r="N222" s="31"/>
      <c r="O222" s="43"/>
    </row>
    <row r="223" spans="3:15" x14ac:dyDescent="0.25">
      <c r="C223" s="31"/>
      <c r="I223" s="43"/>
      <c r="J223" s="43"/>
      <c r="K223" s="43"/>
      <c r="N223" s="31"/>
      <c r="O223" s="43"/>
    </row>
    <row r="224" spans="3:15" x14ac:dyDescent="0.25">
      <c r="C224" s="31"/>
      <c r="I224" s="43"/>
      <c r="J224" s="43"/>
      <c r="K224" s="43"/>
      <c r="N224" s="31"/>
      <c r="O224" s="43"/>
    </row>
    <row r="225" spans="3:15" x14ac:dyDescent="0.25">
      <c r="C225" s="31"/>
      <c r="I225" s="43"/>
      <c r="J225" s="43"/>
      <c r="K225" s="43"/>
      <c r="N225" s="31"/>
      <c r="O225" s="43"/>
    </row>
    <row r="226" spans="3:15" x14ac:dyDescent="0.25">
      <c r="C226" s="31"/>
      <c r="I226" s="43"/>
      <c r="J226" s="43"/>
      <c r="K226" s="43"/>
      <c r="N226" s="31"/>
      <c r="O226" s="43"/>
    </row>
    <row r="227" spans="3:15" x14ac:dyDescent="0.25">
      <c r="C227" s="31"/>
      <c r="I227" s="43"/>
      <c r="J227" s="43"/>
      <c r="K227" s="43"/>
      <c r="N227" s="31"/>
      <c r="O227" s="43"/>
    </row>
    <row r="228" spans="3:15" x14ac:dyDescent="0.25">
      <c r="C228" s="31"/>
      <c r="I228" s="43"/>
      <c r="J228" s="43"/>
      <c r="K228" s="43"/>
      <c r="N228" s="31"/>
      <c r="O228" s="43"/>
    </row>
    <row r="229" spans="3:15" x14ac:dyDescent="0.25">
      <c r="C229" s="31"/>
      <c r="I229" s="43"/>
      <c r="J229" s="43"/>
      <c r="K229" s="43"/>
      <c r="N229" s="31"/>
      <c r="O229" s="43"/>
    </row>
    <row r="230" spans="3:15" x14ac:dyDescent="0.25">
      <c r="C230" s="31"/>
      <c r="I230" s="43"/>
      <c r="J230" s="43"/>
      <c r="K230" s="43"/>
      <c r="N230" s="31"/>
      <c r="O230" s="43"/>
    </row>
    <row r="231" spans="3:15" x14ac:dyDescent="0.25">
      <c r="C231" s="31"/>
      <c r="I231" s="43"/>
      <c r="J231" s="43"/>
      <c r="K231" s="43"/>
      <c r="N231" s="31"/>
      <c r="O231" s="43"/>
    </row>
    <row r="232" spans="3:15" x14ac:dyDescent="0.25">
      <c r="C232" s="31"/>
      <c r="I232" s="43"/>
      <c r="J232" s="43"/>
      <c r="K232" s="43"/>
      <c r="N232" s="31"/>
      <c r="O232" s="43"/>
    </row>
    <row r="233" spans="3:15" x14ac:dyDescent="0.25">
      <c r="C233" s="31"/>
      <c r="I233" s="43"/>
      <c r="J233" s="43"/>
      <c r="K233" s="43"/>
      <c r="N233" s="31"/>
      <c r="O233" s="43"/>
    </row>
    <row r="234" spans="3:15" x14ac:dyDescent="0.25">
      <c r="C234" s="31"/>
      <c r="I234" s="43"/>
      <c r="J234" s="43"/>
      <c r="K234" s="43"/>
      <c r="N234" s="31"/>
      <c r="O234" s="43"/>
    </row>
    <row r="235" spans="3:15" x14ac:dyDescent="0.25">
      <c r="C235" s="31"/>
      <c r="I235" s="43"/>
      <c r="J235" s="43"/>
      <c r="K235" s="43"/>
      <c r="N235" s="31"/>
      <c r="O235" s="43"/>
    </row>
    <row r="236" spans="3:15" x14ac:dyDescent="0.25">
      <c r="C236" s="31"/>
      <c r="I236" s="43"/>
      <c r="J236" s="43"/>
      <c r="K236" s="43"/>
      <c r="N236" s="31"/>
      <c r="O236" s="43"/>
    </row>
    <row r="237" spans="3:15" x14ac:dyDescent="0.25">
      <c r="C237" s="31"/>
      <c r="I237" s="43"/>
      <c r="J237" s="43"/>
      <c r="K237" s="43"/>
      <c r="N237" s="31"/>
      <c r="O237" s="43"/>
    </row>
    <row r="238" spans="3:15" x14ac:dyDescent="0.25">
      <c r="C238" s="31"/>
      <c r="I238" s="43"/>
      <c r="J238" s="43"/>
      <c r="K238" s="43"/>
      <c r="N238" s="31"/>
      <c r="O238" s="43"/>
    </row>
    <row r="239" spans="3:15" x14ac:dyDescent="0.25">
      <c r="C239" s="31"/>
      <c r="I239" s="43"/>
      <c r="J239" s="43"/>
      <c r="K239" s="43"/>
      <c r="N239" s="31"/>
      <c r="O239" s="43"/>
    </row>
    <row r="240" spans="3:15" x14ac:dyDescent="0.25">
      <c r="C240" s="31"/>
      <c r="I240" s="43"/>
      <c r="J240" s="43"/>
      <c r="K240" s="43"/>
      <c r="N240" s="31"/>
      <c r="O240" s="43"/>
    </row>
    <row r="241" spans="3:15" x14ac:dyDescent="0.25">
      <c r="C241" s="31"/>
      <c r="I241" s="43"/>
      <c r="J241" s="43"/>
      <c r="K241" s="43"/>
      <c r="N241" s="31"/>
      <c r="O241" s="43"/>
    </row>
    <row r="242" spans="3:15" x14ac:dyDescent="0.25">
      <c r="C242" s="31"/>
      <c r="I242" s="43"/>
      <c r="J242" s="43"/>
      <c r="K242" s="43"/>
      <c r="N242" s="31"/>
      <c r="O242" s="43"/>
    </row>
    <row r="243" spans="3:15" x14ac:dyDescent="0.25">
      <c r="C243" s="31"/>
      <c r="I243" s="43"/>
      <c r="J243" s="43"/>
      <c r="K243" s="43"/>
      <c r="N243" s="31"/>
      <c r="O243" s="43"/>
    </row>
    <row r="244" spans="3:15" x14ac:dyDescent="0.25">
      <c r="C244" s="31"/>
      <c r="I244" s="43"/>
      <c r="J244" s="43"/>
      <c r="K244" s="43"/>
      <c r="N244" s="31"/>
      <c r="O244" s="43"/>
    </row>
    <row r="245" spans="3:15" x14ac:dyDescent="0.25">
      <c r="C245" s="31"/>
      <c r="I245" s="43"/>
      <c r="J245" s="43"/>
      <c r="K245" s="43"/>
      <c r="N245" s="31"/>
      <c r="O245" s="43"/>
    </row>
    <row r="246" spans="3:15" x14ac:dyDescent="0.25">
      <c r="C246" s="31"/>
      <c r="I246" s="43"/>
      <c r="J246" s="43"/>
      <c r="K246" s="43"/>
      <c r="N246" s="31"/>
      <c r="O246" s="43"/>
    </row>
    <row r="247" spans="3:15" x14ac:dyDescent="0.25">
      <c r="C247" s="31"/>
      <c r="I247" s="43"/>
      <c r="J247" s="43"/>
      <c r="K247" s="43"/>
      <c r="N247" s="31"/>
      <c r="O247" s="43"/>
    </row>
    <row r="248" spans="3:15" x14ac:dyDescent="0.25">
      <c r="C248" s="31"/>
      <c r="I248" s="43"/>
      <c r="J248" s="43"/>
      <c r="K248" s="43"/>
      <c r="N248" s="31"/>
      <c r="O248" s="43"/>
    </row>
    <row r="249" spans="3:15" x14ac:dyDescent="0.25">
      <c r="C249" s="31"/>
      <c r="I249" s="43"/>
      <c r="J249" s="43"/>
      <c r="K249" s="43"/>
      <c r="N249" s="31"/>
      <c r="O249" s="43"/>
    </row>
    <row r="250" spans="3:15" x14ac:dyDescent="0.25">
      <c r="C250" s="31"/>
      <c r="I250" s="43"/>
      <c r="J250" s="43"/>
      <c r="K250" s="43"/>
      <c r="N250" s="31"/>
      <c r="O250" s="43"/>
    </row>
    <row r="251" spans="3:15" x14ac:dyDescent="0.25">
      <c r="C251" s="31"/>
      <c r="I251" s="43"/>
      <c r="J251" s="43"/>
      <c r="K251" s="43"/>
      <c r="N251" s="31"/>
      <c r="O251" s="43"/>
    </row>
    <row r="252" spans="3:15" x14ac:dyDescent="0.25">
      <c r="C252" s="31"/>
      <c r="I252" s="43"/>
      <c r="J252" s="43"/>
      <c r="K252" s="43"/>
      <c r="N252" s="31"/>
      <c r="O252" s="43"/>
    </row>
    <row r="253" spans="3:15" x14ac:dyDescent="0.25">
      <c r="C253" s="31"/>
      <c r="I253" s="43"/>
      <c r="J253" s="43"/>
      <c r="K253" s="43"/>
      <c r="N253" s="31"/>
      <c r="O253" s="43"/>
    </row>
    <row r="254" spans="3:15" x14ac:dyDescent="0.25">
      <c r="C254" s="31"/>
      <c r="I254" s="43"/>
      <c r="J254" s="43"/>
      <c r="K254" s="43"/>
      <c r="N254" s="31"/>
      <c r="O254" s="43"/>
    </row>
    <row r="255" spans="3:15" x14ac:dyDescent="0.25">
      <c r="C255" s="31"/>
      <c r="I255" s="43"/>
      <c r="J255" s="43"/>
      <c r="K255" s="43"/>
      <c r="N255" s="31"/>
      <c r="O255" s="43"/>
    </row>
    <row r="256" spans="3:15" x14ac:dyDescent="0.25">
      <c r="C256" s="31"/>
      <c r="I256" s="43"/>
      <c r="J256" s="43"/>
      <c r="K256" s="43"/>
      <c r="N256" s="31"/>
      <c r="O256" s="43"/>
    </row>
    <row r="257" spans="3:15" x14ac:dyDescent="0.25">
      <c r="C257" s="31"/>
      <c r="I257" s="43"/>
      <c r="J257" s="43"/>
      <c r="K257" s="43"/>
      <c r="N257" s="31"/>
      <c r="O257" s="43"/>
    </row>
    <row r="258" spans="3:15" x14ac:dyDescent="0.25">
      <c r="C258" s="31"/>
      <c r="I258" s="43"/>
      <c r="J258" s="43"/>
      <c r="K258" s="43"/>
      <c r="N258" s="31"/>
      <c r="O258" s="43"/>
    </row>
    <row r="259" spans="3:15" x14ac:dyDescent="0.25">
      <c r="C259" s="31"/>
      <c r="I259" s="43"/>
      <c r="J259" s="43"/>
      <c r="K259" s="43"/>
      <c r="N259" s="31"/>
      <c r="O259" s="43"/>
    </row>
    <row r="260" spans="3:15" x14ac:dyDescent="0.25">
      <c r="C260" s="31"/>
      <c r="I260" s="43"/>
      <c r="J260" s="43"/>
      <c r="K260" s="43"/>
      <c r="N260" s="31"/>
      <c r="O260" s="43"/>
    </row>
    <row r="261" spans="3:15" x14ac:dyDescent="0.25">
      <c r="C261" s="31"/>
      <c r="I261" s="43"/>
      <c r="J261" s="43"/>
      <c r="K261" s="43"/>
      <c r="N261" s="31"/>
      <c r="O261" s="43"/>
    </row>
    <row r="262" spans="3:15" x14ac:dyDescent="0.25">
      <c r="C262" s="31"/>
      <c r="I262" s="43"/>
      <c r="J262" s="43"/>
      <c r="K262" s="43"/>
      <c r="N262" s="31"/>
      <c r="O262" s="43"/>
    </row>
    <row r="263" spans="3:15" x14ac:dyDescent="0.25">
      <c r="C263" s="31"/>
      <c r="I263" s="43"/>
      <c r="J263" s="43"/>
      <c r="K263" s="43"/>
      <c r="N263" s="31"/>
      <c r="O263" s="43"/>
    </row>
    <row r="264" spans="3:15" x14ac:dyDescent="0.25">
      <c r="C264" s="31"/>
      <c r="I264" s="43"/>
      <c r="J264" s="43"/>
      <c r="K264" s="43"/>
      <c r="N264" s="31"/>
      <c r="O264" s="43"/>
    </row>
    <row r="265" spans="3:15" x14ac:dyDescent="0.25">
      <c r="C265" s="31"/>
      <c r="I265" s="43"/>
      <c r="J265" s="43"/>
      <c r="K265" s="43"/>
      <c r="N265" s="31"/>
      <c r="O265" s="43"/>
    </row>
    <row r="266" spans="3:15" x14ac:dyDescent="0.25">
      <c r="C266" s="31"/>
      <c r="I266" s="43"/>
      <c r="J266" s="43"/>
      <c r="K266" s="43"/>
      <c r="N266" s="31"/>
      <c r="O266" s="43"/>
    </row>
    <row r="267" spans="3:15" x14ac:dyDescent="0.25">
      <c r="C267" s="31"/>
      <c r="I267" s="43"/>
      <c r="J267" s="43"/>
      <c r="K267" s="43"/>
      <c r="N267" s="31"/>
      <c r="O267" s="43"/>
    </row>
    <row r="268" spans="3:15" x14ac:dyDescent="0.25">
      <c r="C268" s="31"/>
      <c r="I268" s="43"/>
      <c r="J268" s="43"/>
      <c r="K268" s="43"/>
      <c r="N268" s="31"/>
      <c r="O268" s="43"/>
    </row>
    <row r="269" spans="3:15" x14ac:dyDescent="0.25">
      <c r="C269" s="31"/>
      <c r="I269" s="43"/>
      <c r="J269" s="43"/>
      <c r="K269" s="43"/>
      <c r="N269" s="31"/>
      <c r="O269" s="43"/>
    </row>
    <row r="270" spans="3:15" x14ac:dyDescent="0.25">
      <c r="C270" s="31"/>
      <c r="I270" s="43"/>
      <c r="J270" s="43"/>
      <c r="K270" s="43"/>
      <c r="N270" s="31"/>
      <c r="O270" s="43"/>
    </row>
    <row r="271" spans="3:15" x14ac:dyDescent="0.25">
      <c r="C271" s="31"/>
      <c r="I271" s="43"/>
      <c r="J271" s="43"/>
      <c r="K271" s="43"/>
      <c r="N271" s="31"/>
      <c r="O271" s="43"/>
    </row>
    <row r="272" spans="3:15" x14ac:dyDescent="0.25">
      <c r="C272" s="31"/>
      <c r="I272" s="43"/>
      <c r="J272" s="43"/>
      <c r="K272" s="43"/>
      <c r="N272" s="31"/>
      <c r="O272" s="43"/>
    </row>
    <row r="273" spans="3:15" x14ac:dyDescent="0.25">
      <c r="C273" s="31"/>
      <c r="I273" s="43"/>
      <c r="J273" s="43"/>
      <c r="K273" s="43"/>
      <c r="N273" s="31"/>
      <c r="O273" s="43"/>
    </row>
    <row r="274" spans="3:15" x14ac:dyDescent="0.25">
      <c r="C274" s="31"/>
      <c r="I274" s="43"/>
      <c r="J274" s="43"/>
      <c r="K274" s="43"/>
      <c r="N274" s="31"/>
      <c r="O274" s="43"/>
    </row>
    <row r="275" spans="3:15" x14ac:dyDescent="0.25">
      <c r="C275" s="31"/>
      <c r="I275" s="43"/>
      <c r="J275" s="43"/>
      <c r="K275" s="43"/>
      <c r="N275" s="31"/>
      <c r="O275" s="43"/>
    </row>
    <row r="276" spans="3:15" x14ac:dyDescent="0.25">
      <c r="C276" s="31"/>
      <c r="I276" s="43"/>
      <c r="J276" s="43"/>
      <c r="K276" s="43"/>
      <c r="N276" s="31"/>
      <c r="O276" s="43"/>
    </row>
    <row r="277" spans="3:15" x14ac:dyDescent="0.25">
      <c r="C277" s="31"/>
      <c r="I277" s="43"/>
      <c r="J277" s="43"/>
      <c r="K277" s="43"/>
      <c r="N277" s="31"/>
      <c r="O277" s="43"/>
    </row>
    <row r="278" spans="3:15" x14ac:dyDescent="0.25">
      <c r="C278" s="31"/>
      <c r="I278" s="43"/>
      <c r="J278" s="43"/>
      <c r="K278" s="43"/>
      <c r="N278" s="31"/>
      <c r="O278" s="43"/>
    </row>
    <row r="279" spans="3:15" x14ac:dyDescent="0.25">
      <c r="C279" s="31"/>
      <c r="I279" s="43"/>
      <c r="J279" s="43"/>
      <c r="K279" s="43"/>
      <c r="N279" s="31"/>
      <c r="O279" s="43"/>
    </row>
    <row r="280" spans="3:15" x14ac:dyDescent="0.25">
      <c r="C280" s="31"/>
      <c r="I280" s="43"/>
      <c r="J280" s="43"/>
      <c r="K280" s="43"/>
      <c r="N280" s="31"/>
      <c r="O280" s="43"/>
    </row>
    <row r="281" spans="3:15" x14ac:dyDescent="0.25">
      <c r="C281" s="31"/>
      <c r="I281" s="43"/>
      <c r="J281" s="43"/>
      <c r="K281" s="43"/>
      <c r="N281" s="31"/>
      <c r="O281" s="43"/>
    </row>
    <row r="282" spans="3:15" x14ac:dyDescent="0.25">
      <c r="C282" s="31"/>
      <c r="I282" s="43"/>
      <c r="J282" s="43"/>
      <c r="K282" s="43"/>
      <c r="N282" s="31"/>
      <c r="O282" s="43"/>
    </row>
    <row r="283" spans="3:15" x14ac:dyDescent="0.25">
      <c r="C283" s="31"/>
      <c r="I283" s="43"/>
      <c r="J283" s="43"/>
      <c r="K283" s="43"/>
      <c r="N283" s="31"/>
      <c r="O283" s="43"/>
    </row>
    <row r="284" spans="3:15" x14ac:dyDescent="0.25">
      <c r="C284" s="31"/>
      <c r="I284" s="43"/>
      <c r="J284" s="43"/>
      <c r="K284" s="43"/>
      <c r="N284" s="31"/>
      <c r="O284" s="43"/>
    </row>
    <row r="285" spans="3:15" x14ac:dyDescent="0.25">
      <c r="C285" s="31"/>
      <c r="I285" s="43"/>
      <c r="J285" s="43"/>
      <c r="K285" s="43"/>
      <c r="N285" s="31"/>
      <c r="O285" s="43"/>
    </row>
    <row r="286" spans="3:15" x14ac:dyDescent="0.25">
      <c r="C286" s="31"/>
      <c r="I286" s="43"/>
      <c r="J286" s="43"/>
      <c r="K286" s="43"/>
      <c r="N286" s="31"/>
      <c r="O286" s="43"/>
    </row>
    <row r="287" spans="3:15" x14ac:dyDescent="0.25">
      <c r="C287" s="31"/>
      <c r="I287" s="43"/>
      <c r="J287" s="43"/>
      <c r="K287" s="43"/>
      <c r="N287" s="31"/>
      <c r="O287" s="43"/>
    </row>
    <row r="288" spans="3:15" x14ac:dyDescent="0.25">
      <c r="C288" s="31"/>
      <c r="I288" s="43"/>
      <c r="J288" s="43"/>
      <c r="K288" s="43"/>
      <c r="N288" s="31"/>
      <c r="O288" s="43"/>
    </row>
    <row r="289" spans="3:15" x14ac:dyDescent="0.25">
      <c r="C289" s="31"/>
      <c r="I289" s="43"/>
      <c r="J289" s="43"/>
      <c r="K289" s="43"/>
      <c r="N289" s="31"/>
      <c r="O289" s="43"/>
    </row>
    <row r="290" spans="3:15" x14ac:dyDescent="0.25">
      <c r="C290" s="31"/>
      <c r="I290" s="43"/>
      <c r="J290" s="43"/>
      <c r="K290" s="43"/>
      <c r="N290" s="31"/>
      <c r="O290" s="43"/>
    </row>
    <row r="291" spans="3:15" x14ac:dyDescent="0.25">
      <c r="C291" s="31"/>
      <c r="I291" s="43"/>
      <c r="J291" s="43"/>
      <c r="K291" s="43"/>
      <c r="N291" s="31"/>
      <c r="O291" s="43"/>
    </row>
    <row r="292" spans="3:15" x14ac:dyDescent="0.25">
      <c r="C292" s="31"/>
      <c r="I292" s="43"/>
      <c r="J292" s="43"/>
      <c r="K292" s="43"/>
      <c r="N292" s="31"/>
      <c r="O292" s="43"/>
    </row>
    <row r="293" spans="3:15" x14ac:dyDescent="0.25">
      <c r="C293" s="31"/>
      <c r="I293" s="43"/>
      <c r="J293" s="43"/>
      <c r="K293" s="43"/>
      <c r="N293" s="31"/>
      <c r="O293" s="43"/>
    </row>
    <row r="294" spans="3:15" x14ac:dyDescent="0.25">
      <c r="C294" s="31"/>
      <c r="I294" s="43"/>
      <c r="J294" s="43"/>
      <c r="K294" s="43"/>
      <c r="N294" s="31"/>
      <c r="O294" s="43"/>
    </row>
    <row r="295" spans="3:15" x14ac:dyDescent="0.25">
      <c r="C295" s="31"/>
      <c r="I295" s="43"/>
      <c r="J295" s="43"/>
      <c r="K295" s="43"/>
      <c r="N295" s="31"/>
      <c r="O295" s="43"/>
    </row>
    <row r="296" spans="3:15" x14ac:dyDescent="0.25">
      <c r="C296" s="31"/>
      <c r="I296" s="43"/>
      <c r="J296" s="43"/>
      <c r="K296" s="43"/>
      <c r="N296" s="31"/>
      <c r="O296" s="43"/>
    </row>
    <row r="297" spans="3:15" x14ac:dyDescent="0.25">
      <c r="C297" s="31"/>
      <c r="I297" s="43"/>
      <c r="J297" s="43"/>
      <c r="K297" s="43"/>
      <c r="N297" s="31"/>
      <c r="O297" s="43"/>
    </row>
    <row r="298" spans="3:15" x14ac:dyDescent="0.25">
      <c r="C298" s="31"/>
      <c r="I298" s="43"/>
      <c r="J298" s="43"/>
      <c r="K298" s="43"/>
      <c r="N298" s="31"/>
      <c r="O298" s="43"/>
    </row>
    <row r="299" spans="3:15" x14ac:dyDescent="0.25">
      <c r="C299" s="31"/>
      <c r="I299" s="43"/>
      <c r="J299" s="43"/>
      <c r="K299" s="43"/>
      <c r="N299" s="31"/>
      <c r="O299" s="43"/>
    </row>
    <row r="300" spans="3:15" x14ac:dyDescent="0.25">
      <c r="C300" s="31"/>
      <c r="I300" s="43"/>
      <c r="J300" s="43"/>
      <c r="K300" s="43"/>
      <c r="N300" s="31"/>
      <c r="O300" s="43"/>
    </row>
    <row r="301" spans="3:15" x14ac:dyDescent="0.25">
      <c r="C301" s="31"/>
      <c r="I301" s="43"/>
      <c r="J301" s="43"/>
      <c r="K301" s="43"/>
      <c r="N301" s="31"/>
      <c r="O301" s="43"/>
    </row>
    <row r="302" spans="3:15" x14ac:dyDescent="0.25">
      <c r="C302" s="31"/>
      <c r="I302" s="43"/>
      <c r="J302" s="43"/>
      <c r="K302" s="43"/>
      <c r="N302" s="31"/>
      <c r="O302" s="43"/>
    </row>
    <row r="303" spans="3:15" x14ac:dyDescent="0.25">
      <c r="C303" s="31"/>
      <c r="I303" s="43"/>
      <c r="J303" s="43"/>
      <c r="K303" s="43"/>
      <c r="N303" s="31"/>
      <c r="O303" s="43"/>
    </row>
    <row r="304" spans="3:15" x14ac:dyDescent="0.25">
      <c r="C304" s="31"/>
      <c r="I304" s="43"/>
      <c r="J304" s="43"/>
      <c r="K304" s="43"/>
      <c r="N304" s="31"/>
      <c r="O304" s="43"/>
    </row>
    <row r="305" spans="3:15" x14ac:dyDescent="0.25">
      <c r="C305" s="31"/>
      <c r="I305" s="43"/>
      <c r="J305" s="43"/>
      <c r="K305" s="43"/>
      <c r="N305" s="31"/>
      <c r="O305" s="43"/>
    </row>
    <row r="306" spans="3:15" x14ac:dyDescent="0.25">
      <c r="C306" s="31"/>
      <c r="I306" s="43"/>
      <c r="J306" s="43"/>
      <c r="K306" s="43"/>
      <c r="N306" s="31"/>
      <c r="O306" s="43"/>
    </row>
    <row r="307" spans="3:15" x14ac:dyDescent="0.25">
      <c r="C307" s="31"/>
      <c r="I307" s="43"/>
      <c r="J307" s="43"/>
      <c r="K307" s="43"/>
      <c r="N307" s="31"/>
      <c r="O307" s="43"/>
    </row>
    <row r="308" spans="3:15" x14ac:dyDescent="0.25">
      <c r="C308" s="31"/>
      <c r="I308" s="43"/>
      <c r="J308" s="43"/>
      <c r="K308" s="43"/>
      <c r="N308" s="31"/>
      <c r="O308" s="43"/>
    </row>
    <row r="309" spans="3:15" x14ac:dyDescent="0.25">
      <c r="C309" s="31"/>
      <c r="I309" s="43"/>
      <c r="J309" s="43"/>
      <c r="K309" s="43"/>
      <c r="N309" s="31"/>
      <c r="O309" s="43"/>
    </row>
    <row r="310" spans="3:15" x14ac:dyDescent="0.25">
      <c r="C310" s="31"/>
      <c r="I310" s="43"/>
      <c r="J310" s="43"/>
      <c r="K310" s="43"/>
      <c r="N310" s="31"/>
      <c r="O310" s="43"/>
    </row>
    <row r="311" spans="3:15" x14ac:dyDescent="0.25">
      <c r="C311" s="31"/>
      <c r="I311" s="43"/>
      <c r="J311" s="43"/>
      <c r="K311" s="43"/>
      <c r="N311" s="31"/>
      <c r="O311" s="43"/>
    </row>
    <row r="312" spans="3:15" x14ac:dyDescent="0.25">
      <c r="C312" s="31"/>
      <c r="I312" s="43"/>
      <c r="J312" s="43"/>
      <c r="K312" s="43"/>
      <c r="N312" s="31"/>
      <c r="O312" s="43"/>
    </row>
    <row r="313" spans="3:15" x14ac:dyDescent="0.25">
      <c r="C313" s="31"/>
      <c r="I313" s="43"/>
      <c r="J313" s="43"/>
      <c r="K313" s="43"/>
      <c r="N313" s="31"/>
      <c r="O313" s="43"/>
    </row>
    <row r="314" spans="3:15" x14ac:dyDescent="0.25">
      <c r="C314" s="31"/>
      <c r="I314" s="43"/>
      <c r="J314" s="43"/>
      <c r="K314" s="43"/>
      <c r="N314" s="31"/>
      <c r="O314" s="43"/>
    </row>
    <row r="315" spans="3:15" x14ac:dyDescent="0.25">
      <c r="C315" s="31"/>
      <c r="I315" s="43"/>
      <c r="J315" s="43"/>
      <c r="K315" s="43"/>
      <c r="N315" s="31"/>
      <c r="O315" s="43"/>
    </row>
    <row r="316" spans="3:15" x14ac:dyDescent="0.25">
      <c r="C316" s="31"/>
      <c r="I316" s="43"/>
      <c r="J316" s="43"/>
      <c r="K316" s="43"/>
      <c r="N316" s="31"/>
      <c r="O316" s="43"/>
    </row>
    <row r="317" spans="3:15" x14ac:dyDescent="0.25">
      <c r="C317" s="31"/>
      <c r="I317" s="43"/>
      <c r="J317" s="43"/>
      <c r="K317" s="43"/>
      <c r="N317" s="31"/>
      <c r="O317" s="43"/>
    </row>
    <row r="318" spans="3:15" x14ac:dyDescent="0.25">
      <c r="C318" s="31"/>
      <c r="I318" s="43"/>
      <c r="J318" s="43"/>
      <c r="K318" s="43"/>
      <c r="N318" s="31"/>
      <c r="O318" s="43"/>
    </row>
    <row r="319" spans="3:15" x14ac:dyDescent="0.25">
      <c r="C319" s="31"/>
      <c r="I319" s="43"/>
      <c r="J319" s="43"/>
      <c r="K319" s="43"/>
      <c r="N319" s="31"/>
      <c r="O319" s="43"/>
    </row>
    <row r="320" spans="3:15" x14ac:dyDescent="0.25">
      <c r="C320" s="31"/>
      <c r="I320" s="43"/>
      <c r="J320" s="43"/>
      <c r="K320" s="43"/>
      <c r="N320" s="31"/>
      <c r="O320" s="43"/>
    </row>
    <row r="321" spans="3:15" x14ac:dyDescent="0.25">
      <c r="C321" s="31"/>
      <c r="I321" s="43"/>
      <c r="J321" s="43"/>
      <c r="K321" s="43"/>
      <c r="N321" s="31"/>
      <c r="O321" s="43"/>
    </row>
    <row r="322" spans="3:15" x14ac:dyDescent="0.25">
      <c r="C322" s="31"/>
      <c r="I322" s="43"/>
      <c r="J322" s="43"/>
      <c r="K322" s="43"/>
      <c r="N322" s="31"/>
      <c r="O322" s="43"/>
    </row>
    <row r="323" spans="3:15" x14ac:dyDescent="0.25">
      <c r="C323" s="31"/>
      <c r="I323" s="43"/>
      <c r="J323" s="43"/>
      <c r="K323" s="43"/>
      <c r="N323" s="31"/>
      <c r="O323" s="43"/>
    </row>
    <row r="324" spans="3:15" x14ac:dyDescent="0.25">
      <c r="C324" s="31"/>
      <c r="I324" s="43"/>
      <c r="J324" s="43"/>
      <c r="K324" s="43"/>
      <c r="N324" s="31"/>
      <c r="O324" s="43"/>
    </row>
    <row r="325" spans="3:15" x14ac:dyDescent="0.25">
      <c r="C325" s="31"/>
      <c r="I325" s="43"/>
      <c r="J325" s="43"/>
      <c r="K325" s="43"/>
      <c r="N325" s="31"/>
      <c r="O325" s="43"/>
    </row>
    <row r="326" spans="3:15" x14ac:dyDescent="0.25">
      <c r="C326" s="31"/>
      <c r="I326" s="43"/>
      <c r="J326" s="43"/>
      <c r="K326" s="43"/>
      <c r="N326" s="31"/>
      <c r="O326" s="43"/>
    </row>
    <row r="327" spans="3:15" x14ac:dyDescent="0.25">
      <c r="C327" s="31"/>
      <c r="I327" s="43"/>
      <c r="J327" s="43"/>
      <c r="K327" s="43"/>
      <c r="N327" s="31"/>
      <c r="O327" s="43"/>
    </row>
    <row r="328" spans="3:15" x14ac:dyDescent="0.25">
      <c r="C328" s="31"/>
      <c r="I328" s="43"/>
      <c r="J328" s="43"/>
      <c r="K328" s="43"/>
      <c r="N328" s="31"/>
      <c r="O328" s="43"/>
    </row>
    <row r="329" spans="3:15" x14ac:dyDescent="0.25">
      <c r="C329" s="31"/>
      <c r="I329" s="43"/>
      <c r="J329" s="43"/>
      <c r="K329" s="43"/>
      <c r="N329" s="31"/>
      <c r="O329" s="43"/>
    </row>
    <row r="330" spans="3:15" x14ac:dyDescent="0.25">
      <c r="C330" s="31"/>
      <c r="I330" s="43"/>
      <c r="J330" s="43"/>
      <c r="K330" s="43"/>
      <c r="N330" s="31"/>
      <c r="O330" s="43"/>
    </row>
    <row r="331" spans="3:15" x14ac:dyDescent="0.25">
      <c r="C331" s="31"/>
      <c r="I331" s="43"/>
      <c r="J331" s="43"/>
      <c r="K331" s="43"/>
      <c r="N331" s="31"/>
      <c r="O331" s="43"/>
    </row>
    <row r="332" spans="3:15" x14ac:dyDescent="0.25">
      <c r="C332" s="31"/>
      <c r="I332" s="43"/>
      <c r="J332" s="43"/>
      <c r="K332" s="43"/>
      <c r="N332" s="31"/>
      <c r="O332" s="43"/>
    </row>
    <row r="333" spans="3:15" x14ac:dyDescent="0.25">
      <c r="C333" s="31"/>
      <c r="I333" s="43"/>
      <c r="J333" s="43"/>
      <c r="K333" s="43"/>
      <c r="N333" s="31"/>
      <c r="O333" s="43"/>
    </row>
    <row r="334" spans="3:15" x14ac:dyDescent="0.25">
      <c r="C334" s="31"/>
      <c r="I334" s="43"/>
      <c r="J334" s="43"/>
      <c r="K334" s="43"/>
      <c r="N334" s="31"/>
      <c r="O334" s="43"/>
    </row>
    <row r="335" spans="3:15" x14ac:dyDescent="0.25">
      <c r="C335" s="31"/>
      <c r="I335" s="43"/>
      <c r="J335" s="43"/>
      <c r="K335" s="43"/>
      <c r="N335" s="31"/>
      <c r="O335" s="43"/>
    </row>
    <row r="336" spans="3:15" x14ac:dyDescent="0.25">
      <c r="C336" s="31"/>
      <c r="I336" s="43"/>
      <c r="J336" s="43"/>
      <c r="K336" s="43"/>
      <c r="N336" s="31"/>
      <c r="O336" s="43"/>
    </row>
    <row r="337" spans="3:15" x14ac:dyDescent="0.25">
      <c r="C337" s="31"/>
      <c r="I337" s="43"/>
      <c r="J337" s="43"/>
      <c r="K337" s="43"/>
      <c r="N337" s="31"/>
      <c r="O337" s="43"/>
    </row>
    <row r="338" spans="3:15" x14ac:dyDescent="0.25">
      <c r="C338" s="31"/>
      <c r="I338" s="43"/>
      <c r="J338" s="43"/>
      <c r="K338" s="43"/>
      <c r="N338" s="31"/>
      <c r="O338" s="43"/>
    </row>
    <row r="339" spans="3:15" x14ac:dyDescent="0.25">
      <c r="C339" s="31"/>
      <c r="I339" s="43"/>
      <c r="J339" s="43"/>
      <c r="K339" s="43"/>
      <c r="N339" s="31"/>
      <c r="O339" s="43"/>
    </row>
    <row r="340" spans="3:15" x14ac:dyDescent="0.25">
      <c r="C340" s="31"/>
      <c r="I340" s="43"/>
      <c r="J340" s="43"/>
      <c r="K340" s="43"/>
      <c r="N340" s="31"/>
      <c r="O340" s="43"/>
    </row>
    <row r="341" spans="3:15" x14ac:dyDescent="0.25">
      <c r="C341" s="31"/>
      <c r="I341" s="43"/>
      <c r="J341" s="43"/>
      <c r="K341" s="43"/>
      <c r="N341" s="31"/>
      <c r="O341" s="43"/>
    </row>
    <row r="342" spans="3:15" x14ac:dyDescent="0.25">
      <c r="C342" s="31"/>
      <c r="I342" s="43"/>
      <c r="J342" s="43"/>
      <c r="K342" s="43"/>
      <c r="N342" s="31"/>
      <c r="O342" s="43"/>
    </row>
    <row r="343" spans="3:15" x14ac:dyDescent="0.25">
      <c r="C343" s="31"/>
      <c r="I343" s="43"/>
      <c r="J343" s="43"/>
      <c r="K343" s="43"/>
      <c r="N343" s="31"/>
      <c r="O343" s="43"/>
    </row>
    <row r="344" spans="3:15" x14ac:dyDescent="0.25">
      <c r="C344" s="31"/>
      <c r="I344" s="43"/>
      <c r="J344" s="43"/>
      <c r="K344" s="43"/>
      <c r="N344" s="31"/>
      <c r="O344" s="43"/>
    </row>
    <row r="345" spans="3:15" x14ac:dyDescent="0.25">
      <c r="C345" s="31"/>
      <c r="I345" s="43"/>
      <c r="J345" s="43"/>
      <c r="K345" s="43"/>
      <c r="N345" s="31"/>
      <c r="O345" s="43"/>
    </row>
    <row r="346" spans="3:15" x14ac:dyDescent="0.25">
      <c r="C346" s="31"/>
      <c r="I346" s="43"/>
      <c r="J346" s="43"/>
      <c r="K346" s="43"/>
      <c r="N346" s="31"/>
      <c r="O346" s="43"/>
    </row>
    <row r="347" spans="3:15" x14ac:dyDescent="0.25">
      <c r="C347" s="31"/>
      <c r="I347" s="43"/>
      <c r="J347" s="43"/>
      <c r="K347" s="43"/>
      <c r="N347" s="31"/>
      <c r="O347" s="43"/>
    </row>
    <row r="348" spans="3:15" x14ac:dyDescent="0.25">
      <c r="C348" s="31"/>
      <c r="I348" s="43"/>
      <c r="J348" s="43"/>
      <c r="K348" s="43"/>
      <c r="N348" s="31"/>
      <c r="O348" s="43"/>
    </row>
    <row r="349" spans="3:15" x14ac:dyDescent="0.25">
      <c r="C349" s="31"/>
      <c r="I349" s="43"/>
      <c r="J349" s="43"/>
      <c r="K349" s="43"/>
      <c r="N349" s="31"/>
      <c r="O349" s="43"/>
    </row>
    <row r="350" spans="3:15" x14ac:dyDescent="0.25">
      <c r="C350" s="31"/>
      <c r="I350" s="43"/>
      <c r="J350" s="43"/>
      <c r="K350" s="43"/>
      <c r="N350" s="31"/>
      <c r="O350" s="43"/>
    </row>
    <row r="351" spans="3:15" x14ac:dyDescent="0.25">
      <c r="C351" s="31"/>
      <c r="I351" s="43"/>
      <c r="J351" s="43"/>
      <c r="K351" s="43"/>
      <c r="N351" s="31"/>
      <c r="O351" s="43"/>
    </row>
    <row r="352" spans="3:15" x14ac:dyDescent="0.25">
      <c r="C352" s="31"/>
      <c r="I352" s="43"/>
      <c r="J352" s="43"/>
      <c r="K352" s="43"/>
      <c r="N352" s="31"/>
      <c r="O352" s="43"/>
    </row>
    <row r="353" spans="3:15" x14ac:dyDescent="0.25">
      <c r="C353" s="31"/>
      <c r="I353" s="43"/>
      <c r="J353" s="43"/>
      <c r="K353" s="43"/>
      <c r="N353" s="31"/>
      <c r="O353" s="43"/>
    </row>
    <row r="354" spans="3:15" x14ac:dyDescent="0.25">
      <c r="C354" s="31"/>
      <c r="I354" s="43"/>
      <c r="J354" s="43"/>
      <c r="K354" s="43"/>
      <c r="N354" s="31"/>
      <c r="O354" s="43"/>
    </row>
    <row r="355" spans="3:15" x14ac:dyDescent="0.25">
      <c r="C355" s="31"/>
      <c r="I355" s="43"/>
      <c r="J355" s="43"/>
      <c r="K355" s="43"/>
      <c r="N355" s="31"/>
      <c r="O355" s="43"/>
    </row>
    <row r="356" spans="3:15" x14ac:dyDescent="0.25">
      <c r="C356" s="31"/>
      <c r="I356" s="43"/>
      <c r="J356" s="43"/>
      <c r="K356" s="43"/>
      <c r="N356" s="31"/>
      <c r="O356" s="43"/>
    </row>
    <row r="357" spans="3:15" x14ac:dyDescent="0.25">
      <c r="C357" s="31"/>
      <c r="I357" s="43"/>
      <c r="J357" s="43"/>
      <c r="K357" s="43"/>
      <c r="N357" s="31"/>
      <c r="O357" s="43"/>
    </row>
    <row r="358" spans="3:15" x14ac:dyDescent="0.25">
      <c r="C358" s="31"/>
      <c r="I358" s="43"/>
      <c r="J358" s="43"/>
      <c r="K358" s="43"/>
      <c r="N358" s="31"/>
      <c r="O358" s="43"/>
    </row>
    <row r="359" spans="3:15" x14ac:dyDescent="0.25">
      <c r="C359" s="31"/>
      <c r="I359" s="43"/>
      <c r="J359" s="43"/>
      <c r="K359" s="43"/>
      <c r="N359" s="31"/>
      <c r="O359" s="43"/>
    </row>
    <row r="360" spans="3:15" x14ac:dyDescent="0.25">
      <c r="C360" s="31"/>
      <c r="I360" s="43"/>
      <c r="J360" s="43"/>
      <c r="K360" s="43"/>
      <c r="N360" s="31"/>
      <c r="O360" s="43"/>
    </row>
    <row r="361" spans="3:15" x14ac:dyDescent="0.25">
      <c r="C361" s="31"/>
      <c r="I361" s="43"/>
      <c r="J361" s="43"/>
      <c r="K361" s="43"/>
      <c r="N361" s="31"/>
      <c r="O361" s="43"/>
    </row>
    <row r="362" spans="3:15" x14ac:dyDescent="0.25">
      <c r="C362" s="31"/>
      <c r="I362" s="43"/>
      <c r="J362" s="43"/>
      <c r="K362" s="43"/>
      <c r="N362" s="31"/>
      <c r="O362" s="43"/>
    </row>
    <row r="363" spans="3:15" x14ac:dyDescent="0.25">
      <c r="C363" s="31"/>
      <c r="I363" s="43"/>
      <c r="J363" s="43"/>
      <c r="K363" s="43"/>
      <c r="N363" s="31"/>
      <c r="O363" s="43"/>
    </row>
    <row r="364" spans="3:15" x14ac:dyDescent="0.25">
      <c r="C364" s="31"/>
      <c r="I364" s="43"/>
      <c r="J364" s="43"/>
      <c r="K364" s="43"/>
      <c r="N364" s="31"/>
      <c r="O364" s="43"/>
    </row>
    <row r="365" spans="3:15" x14ac:dyDescent="0.25">
      <c r="C365" s="31"/>
      <c r="I365" s="43"/>
      <c r="J365" s="43"/>
      <c r="K365" s="43"/>
      <c r="N365" s="31"/>
      <c r="O365" s="43"/>
    </row>
    <row r="366" spans="3:15" x14ac:dyDescent="0.25">
      <c r="C366" s="31"/>
      <c r="I366" s="43"/>
      <c r="J366" s="43"/>
      <c r="K366" s="43"/>
      <c r="N366" s="31"/>
      <c r="O366" s="43"/>
    </row>
    <row r="367" spans="3:15" x14ac:dyDescent="0.25">
      <c r="C367" s="31"/>
      <c r="I367" s="43"/>
      <c r="J367" s="43"/>
      <c r="K367" s="43"/>
      <c r="N367" s="31"/>
      <c r="O367" s="43"/>
    </row>
    <row r="368" spans="3:15" x14ac:dyDescent="0.25">
      <c r="C368" s="31"/>
      <c r="I368" s="43"/>
      <c r="J368" s="43"/>
      <c r="K368" s="43"/>
      <c r="N368" s="31"/>
      <c r="O368" s="43"/>
    </row>
    <row r="369" spans="3:15" x14ac:dyDescent="0.25">
      <c r="C369" s="31"/>
      <c r="I369" s="43"/>
      <c r="J369" s="43"/>
      <c r="K369" s="43"/>
      <c r="N369" s="31"/>
      <c r="O369" s="43"/>
    </row>
    <row r="370" spans="3:15" x14ac:dyDescent="0.25">
      <c r="C370" s="31"/>
      <c r="I370" s="43"/>
      <c r="J370" s="43"/>
      <c r="K370" s="43"/>
      <c r="N370" s="31"/>
      <c r="O370" s="43"/>
    </row>
    <row r="371" spans="3:15" x14ac:dyDescent="0.25">
      <c r="C371" s="31"/>
      <c r="I371" s="43"/>
      <c r="J371" s="43"/>
      <c r="K371" s="43"/>
      <c r="N371" s="31"/>
      <c r="O371" s="43"/>
    </row>
    <row r="372" spans="3:15" x14ac:dyDescent="0.25">
      <c r="C372" s="31"/>
      <c r="I372" s="43"/>
      <c r="J372" s="43"/>
      <c r="K372" s="43"/>
      <c r="N372" s="31"/>
      <c r="O372" s="43"/>
    </row>
    <row r="373" spans="3:15" x14ac:dyDescent="0.25">
      <c r="C373" s="31"/>
      <c r="I373" s="43"/>
      <c r="J373" s="43"/>
      <c r="K373" s="43"/>
      <c r="N373" s="31"/>
      <c r="O373" s="43"/>
    </row>
    <row r="374" spans="3:15" x14ac:dyDescent="0.25">
      <c r="C374" s="31"/>
      <c r="I374" s="43"/>
      <c r="J374" s="43"/>
      <c r="K374" s="43"/>
      <c r="N374" s="31"/>
      <c r="O374" s="43"/>
    </row>
    <row r="375" spans="3:15" x14ac:dyDescent="0.25">
      <c r="C375" s="31"/>
      <c r="I375" s="43"/>
      <c r="J375" s="43"/>
      <c r="K375" s="43"/>
      <c r="N375" s="31"/>
      <c r="O375" s="43"/>
    </row>
    <row r="376" spans="3:15" x14ac:dyDescent="0.25">
      <c r="C376" s="31"/>
      <c r="I376" s="43"/>
      <c r="J376" s="43"/>
      <c r="K376" s="43"/>
      <c r="N376" s="31"/>
      <c r="O376" s="43"/>
    </row>
    <row r="377" spans="3:15" x14ac:dyDescent="0.25">
      <c r="C377" s="31"/>
      <c r="I377" s="43"/>
      <c r="J377" s="43"/>
      <c r="K377" s="43"/>
      <c r="N377" s="31"/>
      <c r="O377" s="43"/>
    </row>
    <row r="378" spans="3:15" x14ac:dyDescent="0.25">
      <c r="C378" s="31"/>
      <c r="I378" s="43"/>
      <c r="J378" s="43"/>
      <c r="K378" s="43"/>
      <c r="N378" s="31"/>
      <c r="O378" s="43"/>
    </row>
    <row r="379" spans="3:15" x14ac:dyDescent="0.25">
      <c r="C379" s="31"/>
      <c r="I379" s="43"/>
      <c r="J379" s="43"/>
      <c r="K379" s="43"/>
      <c r="N379" s="31"/>
      <c r="O379" s="43"/>
    </row>
    <row r="380" spans="3:15" x14ac:dyDescent="0.25">
      <c r="C380" s="31"/>
      <c r="I380" s="43"/>
      <c r="J380" s="43"/>
      <c r="K380" s="43"/>
      <c r="N380" s="31"/>
      <c r="O380" s="43"/>
    </row>
    <row r="381" spans="3:15" x14ac:dyDescent="0.25">
      <c r="C381" s="31"/>
      <c r="I381" s="43"/>
      <c r="J381" s="43"/>
      <c r="K381" s="43"/>
      <c r="N381" s="31"/>
      <c r="O381" s="43"/>
    </row>
    <row r="382" spans="3:15" x14ac:dyDescent="0.25">
      <c r="C382" s="31"/>
      <c r="I382" s="43"/>
      <c r="J382" s="43"/>
      <c r="K382" s="43"/>
      <c r="N382" s="31"/>
      <c r="O382" s="43"/>
    </row>
    <row r="383" spans="3:15" x14ac:dyDescent="0.25">
      <c r="C383" s="31"/>
      <c r="I383" s="43"/>
      <c r="J383" s="43"/>
      <c r="K383" s="43"/>
      <c r="N383" s="31"/>
      <c r="O383" s="43"/>
    </row>
    <row r="384" spans="3:15" x14ac:dyDescent="0.25">
      <c r="C384" s="31"/>
      <c r="I384" s="43"/>
      <c r="J384" s="43"/>
      <c r="K384" s="43"/>
      <c r="N384" s="31"/>
      <c r="O384" s="43"/>
    </row>
    <row r="385" spans="3:15" x14ac:dyDescent="0.25">
      <c r="C385" s="31"/>
      <c r="I385" s="43"/>
      <c r="J385" s="43"/>
      <c r="K385" s="43"/>
      <c r="N385" s="31"/>
      <c r="O385" s="43"/>
    </row>
    <row r="386" spans="3:15" x14ac:dyDescent="0.25">
      <c r="C386" s="31"/>
      <c r="I386" s="43"/>
      <c r="J386" s="43"/>
      <c r="K386" s="43"/>
      <c r="N386" s="31"/>
      <c r="O386" s="43"/>
    </row>
    <row r="387" spans="3:15" x14ac:dyDescent="0.25">
      <c r="C387" s="31"/>
      <c r="I387" s="43"/>
      <c r="J387" s="43"/>
      <c r="K387" s="43"/>
      <c r="N387" s="31"/>
      <c r="O387" s="43"/>
    </row>
    <row r="388" spans="3:15" x14ac:dyDescent="0.25">
      <c r="C388" s="31"/>
      <c r="I388" s="43"/>
      <c r="J388" s="43"/>
      <c r="K388" s="43"/>
      <c r="N388" s="31"/>
      <c r="O388" s="43"/>
    </row>
    <row r="389" spans="3:15" x14ac:dyDescent="0.25">
      <c r="C389" s="31"/>
      <c r="I389" s="43"/>
      <c r="J389" s="43"/>
      <c r="K389" s="43"/>
      <c r="N389" s="31"/>
      <c r="O389" s="43"/>
    </row>
    <row r="390" spans="3:15" x14ac:dyDescent="0.25">
      <c r="C390" s="31"/>
      <c r="I390" s="43"/>
      <c r="J390" s="43"/>
      <c r="K390" s="43"/>
      <c r="N390" s="31"/>
      <c r="O390" s="43"/>
    </row>
    <row r="391" spans="3:15" x14ac:dyDescent="0.25">
      <c r="C391" s="31"/>
      <c r="I391" s="43"/>
      <c r="J391" s="43"/>
      <c r="K391" s="43"/>
      <c r="N391" s="31"/>
      <c r="O391" s="43"/>
    </row>
    <row r="392" spans="3:15" x14ac:dyDescent="0.25">
      <c r="C392" s="31"/>
      <c r="I392" s="43"/>
      <c r="J392" s="43"/>
      <c r="K392" s="43"/>
      <c r="N392" s="31"/>
      <c r="O392" s="43"/>
    </row>
    <row r="393" spans="3:15" x14ac:dyDescent="0.25">
      <c r="C393" s="31"/>
      <c r="I393" s="43"/>
      <c r="J393" s="43"/>
      <c r="K393" s="43"/>
      <c r="N393" s="31"/>
      <c r="O393" s="43"/>
    </row>
    <row r="394" spans="3:15" x14ac:dyDescent="0.25">
      <c r="C394" s="31"/>
      <c r="I394" s="43"/>
      <c r="J394" s="43"/>
      <c r="K394" s="43"/>
      <c r="N394" s="31"/>
      <c r="O394" s="43"/>
    </row>
    <row r="395" spans="3:15" x14ac:dyDescent="0.25">
      <c r="C395" s="31"/>
      <c r="I395" s="43"/>
      <c r="J395" s="43"/>
      <c r="K395" s="43"/>
      <c r="N395" s="31"/>
      <c r="O395" s="43"/>
    </row>
    <row r="396" spans="3:15" x14ac:dyDescent="0.25">
      <c r="C396" s="31"/>
      <c r="I396" s="43"/>
      <c r="J396" s="43"/>
      <c r="K396" s="43"/>
      <c r="N396" s="31"/>
      <c r="O396" s="43"/>
    </row>
    <row r="397" spans="3:15" x14ac:dyDescent="0.25">
      <c r="C397" s="31"/>
      <c r="I397" s="43"/>
      <c r="J397" s="43"/>
      <c r="K397" s="43"/>
      <c r="N397" s="31"/>
      <c r="O397" s="43"/>
    </row>
    <row r="398" spans="3:15" x14ac:dyDescent="0.25">
      <c r="C398" s="31"/>
      <c r="I398" s="43"/>
      <c r="J398" s="43"/>
      <c r="K398" s="43"/>
      <c r="N398" s="31"/>
      <c r="O398" s="43"/>
    </row>
    <row r="399" spans="3:15" x14ac:dyDescent="0.25">
      <c r="C399" s="31"/>
      <c r="I399" s="43"/>
      <c r="J399" s="43"/>
      <c r="K399" s="43"/>
      <c r="N399" s="31"/>
      <c r="O399" s="43"/>
    </row>
    <row r="400" spans="3:15" x14ac:dyDescent="0.25">
      <c r="C400" s="31"/>
      <c r="I400" s="43"/>
      <c r="J400" s="43"/>
      <c r="K400" s="43"/>
      <c r="N400" s="31"/>
      <c r="O400" s="43"/>
    </row>
    <row r="401" spans="3:15" x14ac:dyDescent="0.25">
      <c r="C401" s="31"/>
      <c r="I401" s="43"/>
      <c r="J401" s="43"/>
      <c r="K401" s="43"/>
      <c r="N401" s="31"/>
      <c r="O401" s="43"/>
    </row>
    <row r="402" spans="3:15" x14ac:dyDescent="0.25">
      <c r="C402" s="31"/>
      <c r="I402" s="43"/>
      <c r="J402" s="43"/>
      <c r="K402" s="43"/>
      <c r="N402" s="31"/>
      <c r="O402" s="43"/>
    </row>
    <row r="403" spans="3:15" x14ac:dyDescent="0.25">
      <c r="C403" s="31"/>
      <c r="I403" s="43"/>
      <c r="J403" s="43"/>
      <c r="K403" s="43"/>
      <c r="N403" s="31"/>
      <c r="O403" s="43"/>
    </row>
    <row r="404" spans="3:15" x14ac:dyDescent="0.25">
      <c r="C404" s="31"/>
      <c r="I404" s="43"/>
      <c r="J404" s="43"/>
      <c r="K404" s="43"/>
      <c r="N404" s="31"/>
      <c r="O404" s="43"/>
    </row>
    <row r="405" spans="3:15" x14ac:dyDescent="0.25">
      <c r="C405" s="31"/>
      <c r="I405" s="43"/>
      <c r="J405" s="43"/>
      <c r="K405" s="43"/>
      <c r="N405" s="31"/>
      <c r="O405" s="43"/>
    </row>
    <row r="406" spans="3:15" x14ac:dyDescent="0.25">
      <c r="C406" s="31"/>
      <c r="I406" s="43"/>
      <c r="J406" s="43"/>
      <c r="K406" s="43"/>
      <c r="N406" s="31"/>
      <c r="O406" s="43"/>
    </row>
    <row r="407" spans="3:15" x14ac:dyDescent="0.25">
      <c r="C407" s="31"/>
      <c r="I407" s="43"/>
      <c r="J407" s="43"/>
      <c r="K407" s="43"/>
      <c r="N407" s="31"/>
      <c r="O407" s="43"/>
    </row>
    <row r="408" spans="3:15" x14ac:dyDescent="0.25">
      <c r="C408" s="31"/>
      <c r="I408" s="43"/>
      <c r="J408" s="43"/>
      <c r="K408" s="43"/>
      <c r="N408" s="31"/>
      <c r="O408" s="43"/>
    </row>
    <row r="409" spans="3:15" x14ac:dyDescent="0.25">
      <c r="C409" s="31"/>
      <c r="I409" s="43"/>
      <c r="J409" s="43"/>
      <c r="K409" s="43"/>
      <c r="N409" s="31"/>
      <c r="O409" s="43"/>
    </row>
    <row r="410" spans="3:15" x14ac:dyDescent="0.25">
      <c r="C410" s="31"/>
      <c r="I410" s="43"/>
      <c r="J410" s="43"/>
      <c r="K410" s="43"/>
      <c r="N410" s="31"/>
      <c r="O410" s="43"/>
    </row>
    <row r="411" spans="3:15" x14ac:dyDescent="0.25">
      <c r="C411" s="31"/>
      <c r="I411" s="43"/>
      <c r="J411" s="43"/>
      <c r="K411" s="43"/>
      <c r="N411" s="31"/>
      <c r="O411" s="43"/>
    </row>
    <row r="412" spans="3:15" x14ac:dyDescent="0.25">
      <c r="C412" s="31"/>
      <c r="I412" s="43"/>
      <c r="J412" s="43"/>
      <c r="K412" s="43"/>
      <c r="N412" s="31"/>
      <c r="O412" s="43"/>
    </row>
    <row r="413" spans="3:15" x14ac:dyDescent="0.25">
      <c r="C413" s="31"/>
      <c r="I413" s="43"/>
      <c r="J413" s="43"/>
      <c r="K413" s="43"/>
      <c r="N413" s="31"/>
      <c r="O413" s="43"/>
    </row>
    <row r="414" spans="3:15" x14ac:dyDescent="0.25">
      <c r="C414" s="31"/>
      <c r="I414" s="43"/>
      <c r="J414" s="43"/>
      <c r="K414" s="43"/>
      <c r="N414" s="31"/>
      <c r="O414" s="43"/>
    </row>
    <row r="415" spans="3:15" x14ac:dyDescent="0.25">
      <c r="C415" s="31"/>
      <c r="I415" s="43"/>
      <c r="J415" s="43"/>
      <c r="K415" s="43"/>
      <c r="N415" s="31"/>
      <c r="O415" s="43"/>
    </row>
    <row r="416" spans="3:15" x14ac:dyDescent="0.25">
      <c r="C416" s="31"/>
      <c r="I416" s="43"/>
      <c r="J416" s="43"/>
      <c r="K416" s="43"/>
      <c r="N416" s="31"/>
      <c r="O416" s="43"/>
    </row>
    <row r="417" spans="3:15" x14ac:dyDescent="0.25">
      <c r="C417" s="31"/>
      <c r="I417" s="43"/>
      <c r="J417" s="43"/>
      <c r="K417" s="43"/>
      <c r="N417" s="31"/>
      <c r="O417" s="43"/>
    </row>
    <row r="418" spans="3:15" x14ac:dyDescent="0.25">
      <c r="C418" s="31"/>
      <c r="I418" s="43"/>
      <c r="J418" s="43"/>
      <c r="K418" s="43"/>
      <c r="N418" s="31"/>
      <c r="O418" s="43"/>
    </row>
    <row r="419" spans="3:15" x14ac:dyDescent="0.25">
      <c r="C419" s="31"/>
      <c r="I419" s="43"/>
      <c r="J419" s="43"/>
      <c r="K419" s="43"/>
      <c r="N419" s="31"/>
      <c r="O419" s="43"/>
    </row>
    <row r="420" spans="3:15" x14ac:dyDescent="0.25">
      <c r="C420" s="31"/>
      <c r="I420" s="43"/>
      <c r="J420" s="43"/>
      <c r="K420" s="43"/>
      <c r="N420" s="31"/>
      <c r="O420" s="43"/>
    </row>
    <row r="421" spans="3:15" x14ac:dyDescent="0.25">
      <c r="C421" s="31"/>
      <c r="I421" s="43"/>
      <c r="J421" s="43"/>
      <c r="K421" s="43"/>
      <c r="N421" s="31"/>
      <c r="O421" s="43"/>
    </row>
    <row r="422" spans="3:15" x14ac:dyDescent="0.25">
      <c r="C422" s="31"/>
      <c r="I422" s="43"/>
      <c r="J422" s="43"/>
      <c r="K422" s="43"/>
      <c r="N422" s="31"/>
      <c r="O422" s="43"/>
    </row>
    <row r="423" spans="3:15" x14ac:dyDescent="0.25">
      <c r="C423" s="31"/>
      <c r="I423" s="43"/>
      <c r="J423" s="43"/>
      <c r="K423" s="43"/>
      <c r="N423" s="31"/>
      <c r="O423" s="43"/>
    </row>
    <row r="424" spans="3:15" x14ac:dyDescent="0.25">
      <c r="C424" s="31"/>
      <c r="I424" s="43"/>
      <c r="J424" s="43"/>
      <c r="K424" s="43"/>
      <c r="N424" s="31"/>
      <c r="O424" s="43"/>
    </row>
    <row r="425" spans="3:15" x14ac:dyDescent="0.25">
      <c r="C425" s="31"/>
      <c r="I425" s="43"/>
      <c r="J425" s="43"/>
      <c r="K425" s="43"/>
      <c r="N425" s="31"/>
      <c r="O425" s="43"/>
    </row>
    <row r="426" spans="3:15" x14ac:dyDescent="0.25">
      <c r="C426" s="31"/>
      <c r="I426" s="43"/>
      <c r="J426" s="43"/>
      <c r="K426" s="43"/>
      <c r="N426" s="31"/>
      <c r="O426" s="43"/>
    </row>
    <row r="427" spans="3:15" x14ac:dyDescent="0.25">
      <c r="C427" s="31"/>
      <c r="I427" s="43"/>
      <c r="J427" s="43"/>
      <c r="K427" s="43"/>
      <c r="N427" s="31"/>
      <c r="O427" s="43"/>
    </row>
    <row r="428" spans="3:15" x14ac:dyDescent="0.25">
      <c r="C428" s="31"/>
      <c r="I428" s="43"/>
      <c r="J428" s="43"/>
      <c r="K428" s="43"/>
      <c r="N428" s="31"/>
      <c r="O428" s="43"/>
    </row>
    <row r="429" spans="3:15" x14ac:dyDescent="0.25">
      <c r="C429" s="31"/>
      <c r="I429" s="43"/>
      <c r="J429" s="43"/>
      <c r="K429" s="43"/>
      <c r="N429" s="31"/>
      <c r="O429" s="43"/>
    </row>
    <row r="430" spans="3:15" x14ac:dyDescent="0.25">
      <c r="C430" s="31"/>
      <c r="I430" s="43"/>
      <c r="J430" s="43"/>
      <c r="K430" s="43"/>
      <c r="N430" s="31"/>
      <c r="O430" s="43"/>
    </row>
    <row r="431" spans="3:15" x14ac:dyDescent="0.25">
      <c r="C431" s="31"/>
      <c r="I431" s="43"/>
      <c r="J431" s="43"/>
      <c r="K431" s="43"/>
      <c r="N431" s="31"/>
      <c r="O431" s="43"/>
    </row>
    <row r="432" spans="3:15" x14ac:dyDescent="0.25">
      <c r="C432" s="31"/>
      <c r="I432" s="43"/>
      <c r="J432" s="43"/>
      <c r="K432" s="43"/>
      <c r="N432" s="31"/>
      <c r="O432" s="43"/>
    </row>
    <row r="433" spans="3:15" x14ac:dyDescent="0.25">
      <c r="C433" s="31"/>
      <c r="I433" s="43"/>
      <c r="J433" s="43"/>
      <c r="K433" s="43"/>
      <c r="N433" s="31"/>
      <c r="O433" s="43"/>
    </row>
    <row r="434" spans="3:15" x14ac:dyDescent="0.25">
      <c r="C434" s="31"/>
      <c r="I434" s="43"/>
      <c r="J434" s="43"/>
      <c r="K434" s="43"/>
      <c r="N434" s="31"/>
      <c r="O434" s="43"/>
    </row>
    <row r="435" spans="3:15" x14ac:dyDescent="0.25">
      <c r="C435" s="31"/>
      <c r="I435" s="43"/>
      <c r="J435" s="43"/>
      <c r="K435" s="43"/>
      <c r="N435" s="31"/>
      <c r="O435" s="43"/>
    </row>
    <row r="436" spans="3:15" x14ac:dyDescent="0.25">
      <c r="C436" s="31"/>
      <c r="I436" s="43"/>
      <c r="J436" s="43"/>
      <c r="K436" s="43"/>
      <c r="N436" s="31"/>
      <c r="O436" s="43"/>
    </row>
    <row r="437" spans="3:15" x14ac:dyDescent="0.25">
      <c r="C437" s="31"/>
      <c r="I437" s="43"/>
      <c r="J437" s="43"/>
      <c r="K437" s="43"/>
      <c r="N437" s="31"/>
      <c r="O437" s="43"/>
    </row>
    <row r="438" spans="3:15" x14ac:dyDescent="0.25">
      <c r="C438" s="31"/>
      <c r="I438" s="43"/>
      <c r="J438" s="43"/>
      <c r="K438" s="43"/>
      <c r="N438" s="31"/>
      <c r="O438" s="43"/>
    </row>
    <row r="439" spans="3:15" x14ac:dyDescent="0.25">
      <c r="C439" s="31"/>
      <c r="I439" s="43"/>
      <c r="J439" s="43"/>
      <c r="K439" s="43"/>
      <c r="N439" s="31"/>
      <c r="O439" s="43"/>
    </row>
    <row r="440" spans="3:15" x14ac:dyDescent="0.25">
      <c r="C440" s="31"/>
      <c r="I440" s="43"/>
      <c r="J440" s="43"/>
      <c r="K440" s="43"/>
      <c r="N440" s="31"/>
      <c r="O440" s="43"/>
    </row>
    <row r="441" spans="3:15" x14ac:dyDescent="0.25">
      <c r="C441" s="31"/>
      <c r="I441" s="43"/>
      <c r="J441" s="43"/>
      <c r="K441" s="43"/>
      <c r="N441" s="31"/>
      <c r="O441" s="43"/>
    </row>
    <row r="442" spans="3:15" x14ac:dyDescent="0.25">
      <c r="C442" s="31"/>
      <c r="I442" s="43"/>
      <c r="J442" s="43"/>
      <c r="K442" s="43"/>
      <c r="N442" s="31"/>
      <c r="O442" s="43"/>
    </row>
    <row r="443" spans="3:15" x14ac:dyDescent="0.25">
      <c r="C443" s="31"/>
      <c r="I443" s="43"/>
      <c r="J443" s="43"/>
      <c r="K443" s="43"/>
      <c r="N443" s="31"/>
      <c r="O443" s="43"/>
    </row>
    <row r="444" spans="3:15" x14ac:dyDescent="0.25">
      <c r="C444" s="31"/>
      <c r="I444" s="43"/>
      <c r="J444" s="43"/>
      <c r="K444" s="43"/>
      <c r="N444" s="31"/>
      <c r="O444" s="43"/>
    </row>
    <row r="445" spans="3:15" x14ac:dyDescent="0.25">
      <c r="C445" s="31"/>
      <c r="I445" s="43"/>
      <c r="J445" s="43"/>
      <c r="K445" s="43"/>
      <c r="N445" s="31"/>
      <c r="O445" s="43"/>
    </row>
    <row r="446" spans="3:15" x14ac:dyDescent="0.25">
      <c r="C446" s="31"/>
      <c r="I446" s="43"/>
      <c r="J446" s="43"/>
      <c r="K446" s="43"/>
      <c r="N446" s="31"/>
      <c r="O446" s="43"/>
    </row>
    <row r="447" spans="3:15" x14ac:dyDescent="0.25">
      <c r="C447" s="31"/>
      <c r="I447" s="43"/>
      <c r="J447" s="43"/>
      <c r="K447" s="43"/>
      <c r="N447" s="31"/>
      <c r="O447" s="43"/>
    </row>
    <row r="448" spans="3:15" x14ac:dyDescent="0.25">
      <c r="C448" s="31"/>
      <c r="I448" s="43"/>
      <c r="J448" s="43"/>
      <c r="K448" s="43"/>
      <c r="N448" s="31"/>
      <c r="O448" s="43"/>
    </row>
    <row r="449" spans="3:15" x14ac:dyDescent="0.25">
      <c r="C449" s="31"/>
      <c r="I449" s="43"/>
      <c r="J449" s="43"/>
      <c r="K449" s="43"/>
      <c r="N449" s="31"/>
      <c r="O449" s="43"/>
    </row>
    <row r="450" spans="3:15" x14ac:dyDescent="0.25">
      <c r="C450" s="31"/>
      <c r="I450" s="43"/>
      <c r="J450" s="43"/>
      <c r="K450" s="43"/>
      <c r="N450" s="31"/>
      <c r="O450" s="43"/>
    </row>
    <row r="451" spans="3:15" x14ac:dyDescent="0.25">
      <c r="C451" s="31"/>
      <c r="I451" s="43"/>
      <c r="J451" s="43"/>
      <c r="K451" s="43"/>
      <c r="N451" s="31"/>
      <c r="O451" s="43"/>
    </row>
    <row r="452" spans="3:15" x14ac:dyDescent="0.25">
      <c r="C452" s="31"/>
      <c r="I452" s="43"/>
      <c r="J452" s="43"/>
      <c r="K452" s="43"/>
      <c r="N452" s="31"/>
      <c r="O452" s="43"/>
    </row>
    <row r="453" spans="3:15" x14ac:dyDescent="0.25">
      <c r="C453" s="31"/>
      <c r="I453" s="43"/>
      <c r="J453" s="43"/>
      <c r="K453" s="43"/>
      <c r="N453" s="31"/>
      <c r="O453" s="43"/>
    </row>
    <row r="454" spans="3:15" x14ac:dyDescent="0.25">
      <c r="C454" s="31"/>
      <c r="I454" s="43"/>
      <c r="J454" s="43"/>
      <c r="K454" s="43"/>
      <c r="N454" s="31"/>
      <c r="O454" s="43"/>
    </row>
    <row r="455" spans="3:15" x14ac:dyDescent="0.25">
      <c r="C455" s="31"/>
      <c r="I455" s="43"/>
      <c r="J455" s="43"/>
      <c r="K455" s="43"/>
      <c r="N455" s="31"/>
      <c r="O455" s="43"/>
    </row>
    <row r="456" spans="3:15" x14ac:dyDescent="0.25">
      <c r="C456" s="31"/>
      <c r="I456" s="43"/>
      <c r="J456" s="43"/>
      <c r="K456" s="43"/>
      <c r="N456" s="31"/>
      <c r="O456" s="43"/>
    </row>
    <row r="457" spans="3:15" x14ac:dyDescent="0.25">
      <c r="C457" s="31"/>
      <c r="I457" s="43"/>
      <c r="J457" s="43"/>
      <c r="K457" s="43"/>
      <c r="N457" s="31"/>
      <c r="O457" s="43"/>
    </row>
    <row r="458" spans="3:15" x14ac:dyDescent="0.25">
      <c r="C458" s="31"/>
      <c r="I458" s="43"/>
      <c r="J458" s="43"/>
      <c r="K458" s="43"/>
      <c r="N458" s="31"/>
      <c r="O458" s="43"/>
    </row>
    <row r="459" spans="3:15" x14ac:dyDescent="0.25">
      <c r="C459" s="31"/>
      <c r="I459" s="43"/>
      <c r="J459" s="43"/>
      <c r="K459" s="43"/>
      <c r="N459" s="31"/>
      <c r="O459" s="43"/>
    </row>
    <row r="460" spans="3:15" x14ac:dyDescent="0.25">
      <c r="C460" s="31"/>
      <c r="I460" s="43"/>
      <c r="J460" s="43"/>
      <c r="K460" s="43"/>
      <c r="N460" s="31"/>
      <c r="O460" s="43"/>
    </row>
    <row r="461" spans="3:15" x14ac:dyDescent="0.25">
      <c r="C461" s="31"/>
      <c r="I461" s="43"/>
      <c r="J461" s="43"/>
      <c r="K461" s="43"/>
      <c r="N461" s="31"/>
      <c r="O461" s="43"/>
    </row>
    <row r="462" spans="3:15" x14ac:dyDescent="0.25">
      <c r="C462" s="31"/>
      <c r="I462" s="43"/>
      <c r="J462" s="43"/>
      <c r="K462" s="43"/>
      <c r="N462" s="31"/>
      <c r="O462" s="43"/>
    </row>
    <row r="463" spans="3:15" x14ac:dyDescent="0.25">
      <c r="C463" s="31"/>
      <c r="I463" s="43"/>
      <c r="J463" s="43"/>
      <c r="K463" s="43"/>
      <c r="N463" s="31"/>
      <c r="O463" s="43"/>
    </row>
    <row r="464" spans="3:15" x14ac:dyDescent="0.25">
      <c r="C464" s="31"/>
      <c r="I464" s="43"/>
      <c r="J464" s="43"/>
      <c r="K464" s="43"/>
      <c r="N464" s="31"/>
      <c r="O464" s="43"/>
    </row>
    <row r="465" spans="3:15" x14ac:dyDescent="0.25">
      <c r="C465" s="31"/>
      <c r="I465" s="43"/>
      <c r="J465" s="43"/>
      <c r="K465" s="43"/>
      <c r="N465" s="31"/>
      <c r="O465" s="43"/>
    </row>
    <row r="466" spans="3:15" x14ac:dyDescent="0.25">
      <c r="C466" s="31"/>
      <c r="I466" s="43"/>
      <c r="J466" s="43"/>
      <c r="K466" s="43"/>
      <c r="N466" s="31"/>
      <c r="O466" s="43"/>
    </row>
    <row r="467" spans="3:15" x14ac:dyDescent="0.25">
      <c r="C467" s="31"/>
      <c r="I467" s="43"/>
      <c r="J467" s="43"/>
      <c r="K467" s="43"/>
      <c r="N467" s="31"/>
      <c r="O467" s="43"/>
    </row>
    <row r="468" spans="3:15" x14ac:dyDescent="0.25">
      <c r="C468" s="31"/>
      <c r="I468" s="43"/>
      <c r="J468" s="43"/>
      <c r="K468" s="43"/>
      <c r="N468" s="31"/>
      <c r="O468" s="43"/>
    </row>
    <row r="469" spans="3:15" x14ac:dyDescent="0.25">
      <c r="C469" s="31"/>
      <c r="I469" s="43"/>
      <c r="J469" s="43"/>
      <c r="K469" s="43"/>
      <c r="N469" s="31"/>
      <c r="O469" s="43"/>
    </row>
    <row r="470" spans="3:15" x14ac:dyDescent="0.25">
      <c r="C470" s="31"/>
      <c r="I470" s="43"/>
      <c r="J470" s="43"/>
      <c r="K470" s="43"/>
      <c r="N470" s="31"/>
      <c r="O470" s="43"/>
    </row>
    <row r="471" spans="3:15" x14ac:dyDescent="0.25">
      <c r="C471" s="31"/>
      <c r="I471" s="43"/>
      <c r="J471" s="43"/>
      <c r="K471" s="43"/>
      <c r="N471" s="31"/>
      <c r="O471" s="43"/>
    </row>
    <row r="472" spans="3:15" x14ac:dyDescent="0.25">
      <c r="C472" s="31"/>
      <c r="I472" s="43"/>
      <c r="J472" s="43"/>
      <c r="K472" s="43"/>
      <c r="N472" s="31"/>
      <c r="O472" s="43"/>
    </row>
    <row r="473" spans="3:15" x14ac:dyDescent="0.25">
      <c r="C473" s="31"/>
      <c r="I473" s="43"/>
      <c r="J473" s="43"/>
      <c r="K473" s="43"/>
      <c r="N473" s="31"/>
      <c r="O473" s="43"/>
    </row>
    <row r="474" spans="3:15" x14ac:dyDescent="0.25">
      <c r="C474" s="31"/>
      <c r="I474" s="43"/>
      <c r="J474" s="43"/>
      <c r="K474" s="43"/>
      <c r="N474" s="31"/>
      <c r="O474" s="43"/>
    </row>
    <row r="475" spans="3:15" x14ac:dyDescent="0.25">
      <c r="C475" s="31"/>
      <c r="I475" s="43"/>
      <c r="J475" s="43"/>
      <c r="K475" s="43"/>
      <c r="N475" s="31"/>
      <c r="O475" s="43"/>
    </row>
    <row r="476" spans="3:15" x14ac:dyDescent="0.25">
      <c r="C476" s="31"/>
      <c r="I476" s="43"/>
      <c r="J476" s="43"/>
      <c r="K476" s="43"/>
      <c r="N476" s="31"/>
      <c r="O476" s="43"/>
    </row>
    <row r="477" spans="3:15" x14ac:dyDescent="0.25">
      <c r="C477" s="31"/>
      <c r="I477" s="43"/>
      <c r="J477" s="43"/>
      <c r="K477" s="43"/>
      <c r="N477" s="31"/>
      <c r="O477" s="43"/>
    </row>
    <row r="478" spans="3:15" x14ac:dyDescent="0.25">
      <c r="C478" s="31"/>
      <c r="I478" s="43"/>
      <c r="J478" s="43"/>
      <c r="K478" s="43"/>
      <c r="N478" s="31"/>
      <c r="O478" s="43"/>
    </row>
    <row r="479" spans="3:15" x14ac:dyDescent="0.25">
      <c r="C479" s="31"/>
      <c r="I479" s="43"/>
      <c r="J479" s="43"/>
      <c r="K479" s="43"/>
      <c r="N479" s="31"/>
      <c r="O479" s="43"/>
    </row>
    <row r="480" spans="3:15" x14ac:dyDescent="0.25">
      <c r="C480" s="31"/>
      <c r="I480" s="43"/>
      <c r="J480" s="43"/>
      <c r="K480" s="43"/>
      <c r="N480" s="31"/>
      <c r="O480" s="43"/>
    </row>
    <row r="481" spans="3:15" x14ac:dyDescent="0.25">
      <c r="C481" s="31"/>
      <c r="I481" s="43"/>
      <c r="J481" s="43"/>
      <c r="K481" s="43"/>
      <c r="N481" s="31"/>
      <c r="O481" s="43"/>
    </row>
    <row r="482" spans="3:15" x14ac:dyDescent="0.25">
      <c r="C482" s="31"/>
      <c r="I482" s="43"/>
      <c r="J482" s="43"/>
      <c r="K482" s="43"/>
      <c r="N482" s="31"/>
      <c r="O482" s="43"/>
    </row>
    <row r="483" spans="3:15" x14ac:dyDescent="0.25">
      <c r="C483" s="31"/>
      <c r="I483" s="43"/>
      <c r="J483" s="43"/>
      <c r="K483" s="43"/>
      <c r="N483" s="31"/>
      <c r="O483" s="43"/>
    </row>
    <row r="484" spans="3:15" x14ac:dyDescent="0.25">
      <c r="C484" s="31"/>
      <c r="I484" s="43"/>
      <c r="J484" s="43"/>
      <c r="K484" s="43"/>
      <c r="N484" s="31"/>
      <c r="O484" s="43"/>
    </row>
    <row r="485" spans="3:15" x14ac:dyDescent="0.25">
      <c r="C485" s="31"/>
      <c r="I485" s="43"/>
      <c r="J485" s="43"/>
      <c r="K485" s="43"/>
      <c r="N485" s="31"/>
      <c r="O485" s="43"/>
    </row>
    <row r="486" spans="3:15" x14ac:dyDescent="0.25">
      <c r="C486" s="31"/>
      <c r="I486" s="43"/>
      <c r="J486" s="43"/>
      <c r="K486" s="43"/>
      <c r="N486" s="31"/>
      <c r="O486" s="43"/>
    </row>
    <row r="487" spans="3:15" x14ac:dyDescent="0.25">
      <c r="C487" s="31"/>
      <c r="I487" s="43"/>
      <c r="J487" s="43"/>
      <c r="K487" s="43"/>
      <c r="N487" s="31"/>
      <c r="O487" s="43"/>
    </row>
    <row r="488" spans="3:15" x14ac:dyDescent="0.25">
      <c r="C488" s="31"/>
      <c r="I488" s="43"/>
      <c r="J488" s="43"/>
      <c r="K488" s="43"/>
      <c r="N488" s="31"/>
      <c r="O488" s="43"/>
    </row>
    <row r="489" spans="3:15" x14ac:dyDescent="0.25">
      <c r="C489" s="31"/>
      <c r="I489" s="43"/>
      <c r="J489" s="43"/>
      <c r="K489" s="43"/>
      <c r="N489" s="31"/>
      <c r="O489" s="43"/>
    </row>
    <row r="490" spans="3:15" x14ac:dyDescent="0.25">
      <c r="C490" s="31"/>
      <c r="I490" s="43"/>
      <c r="J490" s="43"/>
      <c r="K490" s="43"/>
      <c r="N490" s="31"/>
      <c r="O490" s="43"/>
    </row>
    <row r="491" spans="3:15" x14ac:dyDescent="0.25">
      <c r="C491" s="31"/>
      <c r="I491" s="43"/>
      <c r="J491" s="43"/>
      <c r="K491" s="43"/>
      <c r="N491" s="31"/>
      <c r="O491" s="43"/>
    </row>
    <row r="492" spans="3:15" x14ac:dyDescent="0.25">
      <c r="C492" s="31"/>
      <c r="I492" s="43"/>
      <c r="J492" s="43"/>
      <c r="K492" s="43"/>
      <c r="N492" s="31"/>
      <c r="O492" s="43"/>
    </row>
    <row r="493" spans="3:15" x14ac:dyDescent="0.25">
      <c r="C493" s="31"/>
      <c r="I493" s="43"/>
      <c r="J493" s="43"/>
      <c r="K493" s="43"/>
      <c r="N493" s="31"/>
      <c r="O493" s="43"/>
    </row>
    <row r="494" spans="3:15" x14ac:dyDescent="0.25">
      <c r="C494" s="31"/>
      <c r="I494" s="43"/>
      <c r="J494" s="43"/>
      <c r="K494" s="43"/>
      <c r="N494" s="31"/>
      <c r="O494" s="43"/>
    </row>
    <row r="495" spans="3:15" x14ac:dyDescent="0.25">
      <c r="C495" s="31"/>
      <c r="I495" s="43"/>
      <c r="J495" s="43"/>
      <c r="K495" s="43"/>
      <c r="N495" s="31"/>
      <c r="O495" s="43"/>
    </row>
    <row r="496" spans="3:15" x14ac:dyDescent="0.25">
      <c r="C496" s="31"/>
      <c r="I496" s="43"/>
      <c r="J496" s="43"/>
      <c r="K496" s="43"/>
      <c r="N496" s="31"/>
      <c r="O496" s="43"/>
    </row>
    <row r="497" spans="3:15" x14ac:dyDescent="0.25">
      <c r="C497" s="31"/>
      <c r="I497" s="43"/>
      <c r="J497" s="43"/>
      <c r="K497" s="43"/>
      <c r="N497" s="31"/>
      <c r="O497" s="43"/>
    </row>
    <row r="498" spans="3:15" x14ac:dyDescent="0.25">
      <c r="C498" s="31"/>
      <c r="I498" s="43"/>
      <c r="J498" s="43"/>
      <c r="K498" s="43"/>
      <c r="N498" s="31"/>
      <c r="O498" s="43"/>
    </row>
    <row r="499" spans="3:15" x14ac:dyDescent="0.25">
      <c r="C499" s="31"/>
      <c r="I499" s="43"/>
      <c r="J499" s="43"/>
      <c r="K499" s="43"/>
      <c r="N499" s="31"/>
      <c r="O499" s="43"/>
    </row>
    <row r="500" spans="3:15" x14ac:dyDescent="0.25">
      <c r="C500" s="31"/>
      <c r="I500" s="43"/>
      <c r="J500" s="43"/>
      <c r="K500" s="43"/>
      <c r="N500" s="31"/>
      <c r="O500" s="43"/>
    </row>
    <row r="501" spans="3:15" x14ac:dyDescent="0.25">
      <c r="C501" s="31"/>
      <c r="I501" s="43"/>
      <c r="J501" s="43"/>
      <c r="K501" s="43"/>
      <c r="N501" s="31"/>
      <c r="O501" s="43"/>
    </row>
    <row r="502" spans="3:15" x14ac:dyDescent="0.25">
      <c r="C502" s="31"/>
      <c r="I502" s="43"/>
      <c r="J502" s="43"/>
      <c r="K502" s="43"/>
      <c r="N502" s="31"/>
      <c r="O502" s="43"/>
    </row>
    <row r="503" spans="3:15" x14ac:dyDescent="0.25">
      <c r="C503" s="31"/>
      <c r="I503" s="43"/>
      <c r="J503" s="43"/>
      <c r="K503" s="43"/>
      <c r="N503" s="31"/>
      <c r="O503" s="43"/>
    </row>
    <row r="504" spans="3:15" x14ac:dyDescent="0.25">
      <c r="C504" s="31"/>
      <c r="I504" s="43"/>
      <c r="J504" s="43"/>
      <c r="K504" s="43"/>
      <c r="N504" s="31"/>
      <c r="O504" s="43"/>
    </row>
    <row r="505" spans="3:15" x14ac:dyDescent="0.25">
      <c r="C505" s="31"/>
      <c r="I505" s="43"/>
      <c r="J505" s="43"/>
      <c r="K505" s="43"/>
      <c r="N505" s="31"/>
      <c r="O505" s="43"/>
    </row>
    <row r="506" spans="3:15" x14ac:dyDescent="0.25">
      <c r="C506" s="31"/>
      <c r="I506" s="43"/>
      <c r="J506" s="43"/>
      <c r="K506" s="43"/>
      <c r="N506" s="31"/>
      <c r="O506" s="43"/>
    </row>
    <row r="507" spans="3:15" x14ac:dyDescent="0.25">
      <c r="C507" s="31"/>
      <c r="I507" s="43"/>
      <c r="J507" s="43"/>
      <c r="K507" s="43"/>
      <c r="N507" s="31"/>
      <c r="O507" s="43"/>
    </row>
    <row r="508" spans="3:15" x14ac:dyDescent="0.25">
      <c r="C508" s="31"/>
      <c r="I508" s="43"/>
      <c r="J508" s="43"/>
      <c r="K508" s="43"/>
      <c r="N508" s="31"/>
      <c r="O508" s="43"/>
    </row>
    <row r="509" spans="3:15" x14ac:dyDescent="0.25">
      <c r="C509" s="31"/>
      <c r="I509" s="43"/>
      <c r="J509" s="43"/>
      <c r="K509" s="43"/>
      <c r="N509" s="31"/>
      <c r="O509" s="43"/>
    </row>
    <row r="510" spans="3:15" x14ac:dyDescent="0.25">
      <c r="C510" s="31"/>
      <c r="I510" s="43"/>
      <c r="J510" s="43"/>
      <c r="K510" s="43"/>
      <c r="N510" s="31"/>
      <c r="O510" s="43"/>
    </row>
    <row r="511" spans="3:15" x14ac:dyDescent="0.25">
      <c r="C511" s="31"/>
      <c r="I511" s="43"/>
      <c r="J511" s="43"/>
      <c r="K511" s="43"/>
      <c r="N511" s="31"/>
      <c r="O511" s="43"/>
    </row>
    <row r="512" spans="3:15" x14ac:dyDescent="0.25">
      <c r="C512" s="31"/>
      <c r="I512" s="43"/>
      <c r="J512" s="43"/>
      <c r="K512" s="43"/>
      <c r="N512" s="31"/>
      <c r="O512" s="43"/>
    </row>
    <row r="513" spans="3:15" x14ac:dyDescent="0.25">
      <c r="C513" s="31"/>
      <c r="I513" s="43"/>
      <c r="J513" s="43"/>
      <c r="K513" s="43"/>
      <c r="N513" s="31"/>
      <c r="O513" s="43"/>
    </row>
    <row r="514" spans="3:15" x14ac:dyDescent="0.25">
      <c r="C514" s="31"/>
      <c r="I514" s="43"/>
      <c r="J514" s="43"/>
      <c r="K514" s="43"/>
      <c r="N514" s="31"/>
      <c r="O514" s="43"/>
    </row>
    <row r="515" spans="3:15" x14ac:dyDescent="0.25">
      <c r="C515" s="31"/>
      <c r="I515" s="43"/>
      <c r="J515" s="43"/>
      <c r="K515" s="43"/>
      <c r="N515" s="31"/>
      <c r="O515" s="43"/>
    </row>
    <row r="516" spans="3:15" x14ac:dyDescent="0.25">
      <c r="C516" s="31"/>
      <c r="I516" s="43"/>
      <c r="J516" s="43"/>
      <c r="K516" s="43"/>
      <c r="N516" s="31"/>
      <c r="O516" s="43"/>
    </row>
    <row r="517" spans="3:15" x14ac:dyDescent="0.25">
      <c r="C517" s="31"/>
      <c r="I517" s="43"/>
      <c r="J517" s="43"/>
      <c r="K517" s="43"/>
      <c r="N517" s="31"/>
      <c r="O517" s="43"/>
    </row>
    <row r="518" spans="3:15" x14ac:dyDescent="0.25">
      <c r="C518" s="31"/>
      <c r="I518" s="43"/>
      <c r="J518" s="43"/>
      <c r="K518" s="43"/>
      <c r="N518" s="31"/>
      <c r="O518" s="43"/>
    </row>
    <row r="519" spans="3:15" x14ac:dyDescent="0.25">
      <c r="C519" s="31"/>
      <c r="I519" s="43"/>
      <c r="J519" s="43"/>
      <c r="K519" s="43"/>
      <c r="N519" s="31"/>
      <c r="O519" s="43"/>
    </row>
    <row r="520" spans="3:15" x14ac:dyDescent="0.25">
      <c r="C520" s="31"/>
      <c r="I520" s="43"/>
      <c r="J520" s="43"/>
      <c r="K520" s="43"/>
      <c r="N520" s="31"/>
      <c r="O520" s="43"/>
    </row>
    <row r="521" spans="3:15" x14ac:dyDescent="0.25">
      <c r="C521" s="31"/>
      <c r="I521" s="43"/>
      <c r="J521" s="43"/>
      <c r="K521" s="43"/>
      <c r="N521" s="31"/>
      <c r="O521" s="43"/>
    </row>
    <row r="522" spans="3:15" x14ac:dyDescent="0.25">
      <c r="C522" s="31"/>
      <c r="I522" s="43"/>
      <c r="J522" s="43"/>
      <c r="K522" s="43"/>
      <c r="N522" s="31"/>
      <c r="O522" s="43"/>
    </row>
    <row r="523" spans="3:15" x14ac:dyDescent="0.25">
      <c r="C523" s="31"/>
      <c r="I523" s="43"/>
      <c r="J523" s="43"/>
      <c r="K523" s="43"/>
      <c r="N523" s="31"/>
      <c r="O523" s="43"/>
    </row>
    <row r="524" spans="3:15" x14ac:dyDescent="0.25">
      <c r="C524" s="31"/>
      <c r="I524" s="43"/>
      <c r="J524" s="43"/>
      <c r="K524" s="43"/>
      <c r="N524" s="31"/>
      <c r="O524" s="43"/>
    </row>
    <row r="525" spans="3:15" x14ac:dyDescent="0.25">
      <c r="C525" s="31"/>
      <c r="I525" s="43"/>
      <c r="J525" s="43"/>
      <c r="K525" s="43"/>
      <c r="N525" s="31"/>
      <c r="O525" s="43"/>
    </row>
    <row r="526" spans="3:15" x14ac:dyDescent="0.25">
      <c r="C526" s="31"/>
      <c r="I526" s="43"/>
      <c r="J526" s="43"/>
      <c r="K526" s="43"/>
      <c r="N526" s="31"/>
      <c r="O526" s="43"/>
    </row>
    <row r="527" spans="3:15" x14ac:dyDescent="0.25">
      <c r="C527" s="31"/>
      <c r="I527" s="43"/>
      <c r="J527" s="43"/>
      <c r="K527" s="43"/>
      <c r="N527" s="31"/>
      <c r="O527" s="43"/>
    </row>
    <row r="528" spans="3:15" x14ac:dyDescent="0.25">
      <c r="C528" s="31"/>
      <c r="I528" s="43"/>
      <c r="J528" s="43"/>
      <c r="K528" s="43"/>
      <c r="N528" s="31"/>
      <c r="O528" s="43"/>
    </row>
    <row r="529" spans="3:15" x14ac:dyDescent="0.25">
      <c r="C529" s="31"/>
      <c r="I529" s="43"/>
      <c r="J529" s="43"/>
      <c r="K529" s="43"/>
      <c r="N529" s="31"/>
      <c r="O529" s="43"/>
    </row>
    <row r="530" spans="3:15" x14ac:dyDescent="0.25">
      <c r="C530" s="31"/>
      <c r="I530" s="43"/>
      <c r="J530" s="43"/>
      <c r="K530" s="43"/>
      <c r="N530" s="31"/>
      <c r="O530" s="43"/>
    </row>
    <row r="531" spans="3:15" x14ac:dyDescent="0.25">
      <c r="C531" s="31"/>
      <c r="I531" s="43"/>
      <c r="J531" s="43"/>
      <c r="K531" s="43"/>
      <c r="N531" s="31"/>
      <c r="O531" s="43"/>
    </row>
    <row r="532" spans="3:15" x14ac:dyDescent="0.25">
      <c r="C532" s="31"/>
      <c r="I532" s="43"/>
      <c r="J532" s="43"/>
      <c r="K532" s="43"/>
      <c r="N532" s="31"/>
      <c r="O532" s="43"/>
    </row>
    <row r="533" spans="3:15" x14ac:dyDescent="0.25">
      <c r="C533" s="31"/>
      <c r="I533" s="43"/>
      <c r="J533" s="43"/>
      <c r="K533" s="43"/>
      <c r="N533" s="31"/>
      <c r="O533" s="43"/>
    </row>
    <row r="534" spans="3:15" x14ac:dyDescent="0.25">
      <c r="C534" s="31"/>
      <c r="I534" s="43"/>
      <c r="J534" s="43"/>
      <c r="K534" s="43"/>
      <c r="N534" s="31"/>
      <c r="O534" s="43"/>
    </row>
    <row r="535" spans="3:15" x14ac:dyDescent="0.25">
      <c r="C535" s="31"/>
      <c r="I535" s="43"/>
      <c r="J535" s="43"/>
      <c r="K535" s="43"/>
      <c r="N535" s="31"/>
      <c r="O535" s="43"/>
    </row>
    <row r="536" spans="3:15" x14ac:dyDescent="0.25">
      <c r="C536" s="31"/>
      <c r="I536" s="43"/>
      <c r="J536" s="43"/>
      <c r="K536" s="43"/>
      <c r="N536" s="31"/>
      <c r="O536" s="43"/>
    </row>
    <row r="537" spans="3:15" x14ac:dyDescent="0.25">
      <c r="C537" s="31"/>
      <c r="I537" s="43"/>
      <c r="J537" s="43"/>
      <c r="K537" s="43"/>
      <c r="N537" s="31"/>
      <c r="O537" s="43"/>
    </row>
    <row r="538" spans="3:15" x14ac:dyDescent="0.25">
      <c r="C538" s="31"/>
      <c r="I538" s="43"/>
      <c r="J538" s="43"/>
      <c r="K538" s="43"/>
      <c r="N538" s="31"/>
      <c r="O538" s="43"/>
    </row>
    <row r="539" spans="3:15" x14ac:dyDescent="0.25">
      <c r="C539" s="31"/>
      <c r="I539" s="43"/>
      <c r="J539" s="43"/>
      <c r="K539" s="43"/>
      <c r="N539" s="31"/>
      <c r="O539" s="43"/>
    </row>
    <row r="540" spans="3:15" x14ac:dyDescent="0.25">
      <c r="C540" s="31"/>
      <c r="I540" s="43"/>
      <c r="J540" s="43"/>
      <c r="K540" s="43"/>
      <c r="N540" s="31"/>
      <c r="O540" s="43"/>
    </row>
    <row r="541" spans="3:15" x14ac:dyDescent="0.25">
      <c r="C541" s="31"/>
      <c r="I541" s="43"/>
      <c r="J541" s="43"/>
      <c r="K541" s="43"/>
      <c r="N541" s="31"/>
      <c r="O541" s="43"/>
    </row>
    <row r="542" spans="3:15" x14ac:dyDescent="0.25">
      <c r="C542" s="31"/>
      <c r="I542" s="43"/>
      <c r="J542" s="43"/>
      <c r="K542" s="43"/>
      <c r="N542" s="31"/>
      <c r="O542" s="43"/>
    </row>
    <row r="543" spans="3:15" x14ac:dyDescent="0.25">
      <c r="C543" s="31"/>
      <c r="I543" s="43"/>
      <c r="J543" s="43"/>
      <c r="K543" s="43"/>
      <c r="N543" s="31"/>
      <c r="O543" s="43"/>
    </row>
    <row r="544" spans="3:15" x14ac:dyDescent="0.25">
      <c r="C544" s="31"/>
      <c r="I544" s="43"/>
      <c r="J544" s="43"/>
      <c r="K544" s="43"/>
      <c r="N544" s="31"/>
      <c r="O544" s="43"/>
    </row>
    <row r="545" spans="3:15" x14ac:dyDescent="0.25">
      <c r="C545" s="31"/>
      <c r="I545" s="43"/>
      <c r="J545" s="43"/>
      <c r="K545" s="43"/>
      <c r="N545" s="31"/>
      <c r="O545" s="43"/>
    </row>
    <row r="546" spans="3:15" x14ac:dyDescent="0.25">
      <c r="C546" s="31"/>
      <c r="I546" s="43"/>
      <c r="J546" s="43"/>
      <c r="K546" s="43"/>
      <c r="N546" s="31"/>
      <c r="O546" s="43"/>
    </row>
    <row r="547" spans="3:15" x14ac:dyDescent="0.25">
      <c r="C547" s="31"/>
      <c r="I547" s="43"/>
      <c r="J547" s="43"/>
      <c r="K547" s="43"/>
      <c r="N547" s="31"/>
      <c r="O547" s="43"/>
    </row>
    <row r="548" spans="3:15" x14ac:dyDescent="0.25">
      <c r="C548" s="31"/>
      <c r="I548" s="43"/>
      <c r="J548" s="43"/>
      <c r="K548" s="43"/>
      <c r="N548" s="31"/>
      <c r="O548" s="43"/>
    </row>
    <row r="549" spans="3:15" x14ac:dyDescent="0.25">
      <c r="C549" s="31"/>
      <c r="I549" s="43"/>
      <c r="J549" s="43"/>
      <c r="K549" s="43"/>
      <c r="N549" s="31"/>
      <c r="O549" s="43"/>
    </row>
    <row r="550" spans="3:15" x14ac:dyDescent="0.25">
      <c r="C550" s="31"/>
      <c r="I550" s="43"/>
      <c r="J550" s="43"/>
      <c r="K550" s="43"/>
      <c r="N550" s="31"/>
      <c r="O550" s="43"/>
    </row>
    <row r="551" spans="3:15" x14ac:dyDescent="0.25">
      <c r="C551" s="31"/>
      <c r="I551" s="43"/>
      <c r="J551" s="43"/>
      <c r="K551" s="43"/>
      <c r="N551" s="31"/>
      <c r="O551" s="43"/>
    </row>
    <row r="552" spans="3:15" x14ac:dyDescent="0.25">
      <c r="C552" s="31"/>
      <c r="I552" s="43"/>
      <c r="J552" s="43"/>
      <c r="K552" s="43"/>
      <c r="N552" s="31"/>
      <c r="O552" s="43"/>
    </row>
    <row r="553" spans="3:15" x14ac:dyDescent="0.25">
      <c r="C553" s="31"/>
      <c r="I553" s="43"/>
      <c r="J553" s="43"/>
      <c r="K553" s="43"/>
      <c r="N553" s="31"/>
      <c r="O553" s="43"/>
    </row>
    <row r="554" spans="3:15" x14ac:dyDescent="0.25">
      <c r="C554" s="31"/>
      <c r="I554" s="43"/>
      <c r="J554" s="43"/>
      <c r="K554" s="43"/>
      <c r="N554" s="31"/>
      <c r="O554" s="43"/>
    </row>
    <row r="555" spans="3:15" x14ac:dyDescent="0.25">
      <c r="C555" s="31"/>
      <c r="I555" s="43"/>
      <c r="J555" s="43"/>
      <c r="K555" s="43"/>
      <c r="N555" s="31"/>
      <c r="O555" s="43"/>
    </row>
    <row r="556" spans="3:15" x14ac:dyDescent="0.25">
      <c r="C556" s="31"/>
      <c r="I556" s="43"/>
      <c r="J556" s="43"/>
      <c r="K556" s="43"/>
      <c r="N556" s="31"/>
      <c r="O556" s="43"/>
    </row>
    <row r="557" spans="3:15" x14ac:dyDescent="0.25">
      <c r="C557" s="31"/>
      <c r="I557" s="43"/>
      <c r="J557" s="43"/>
      <c r="K557" s="43"/>
      <c r="N557" s="31"/>
      <c r="O557" s="43"/>
    </row>
    <row r="558" spans="3:15" x14ac:dyDescent="0.25">
      <c r="C558" s="31"/>
      <c r="I558" s="43"/>
      <c r="J558" s="43"/>
      <c r="K558" s="43"/>
      <c r="N558" s="31"/>
      <c r="O558" s="43"/>
    </row>
    <row r="559" spans="3:15" x14ac:dyDescent="0.25">
      <c r="C559" s="31"/>
      <c r="I559" s="43"/>
      <c r="J559" s="43"/>
      <c r="K559" s="43"/>
      <c r="N559" s="31"/>
      <c r="O559" s="43"/>
    </row>
    <row r="560" spans="3:15" x14ac:dyDescent="0.25">
      <c r="C560" s="31"/>
      <c r="I560" s="43"/>
      <c r="J560" s="43"/>
      <c r="K560" s="43"/>
      <c r="N560" s="31"/>
      <c r="O560" s="43"/>
    </row>
    <row r="561" spans="3:15" x14ac:dyDescent="0.25">
      <c r="C561" s="31"/>
      <c r="I561" s="43"/>
      <c r="J561" s="43"/>
      <c r="K561" s="43"/>
      <c r="N561" s="31"/>
      <c r="O561" s="43"/>
    </row>
    <row r="562" spans="3:15" x14ac:dyDescent="0.25">
      <c r="C562" s="31"/>
      <c r="I562" s="43"/>
      <c r="J562" s="43"/>
      <c r="K562" s="43"/>
      <c r="N562" s="31"/>
      <c r="O562" s="43"/>
    </row>
    <row r="563" spans="3:15" x14ac:dyDescent="0.25">
      <c r="C563" s="31"/>
      <c r="I563" s="43"/>
      <c r="J563" s="43"/>
      <c r="K563" s="43"/>
      <c r="N563" s="31"/>
      <c r="O563" s="43"/>
    </row>
    <row r="564" spans="3:15" x14ac:dyDescent="0.25">
      <c r="C564" s="31"/>
      <c r="I564" s="43"/>
      <c r="J564" s="43"/>
      <c r="K564" s="43"/>
      <c r="N564" s="31"/>
      <c r="O564" s="43"/>
    </row>
    <row r="565" spans="3:15" x14ac:dyDescent="0.25">
      <c r="C565" s="31"/>
      <c r="I565" s="43"/>
      <c r="J565" s="43"/>
      <c r="K565" s="43"/>
      <c r="N565" s="31"/>
      <c r="O565" s="43"/>
    </row>
    <row r="566" spans="3:15" x14ac:dyDescent="0.25">
      <c r="C566" s="31"/>
      <c r="I566" s="43"/>
      <c r="J566" s="43"/>
      <c r="K566" s="43"/>
      <c r="N566" s="31"/>
      <c r="O566" s="43"/>
    </row>
    <row r="567" spans="3:15" x14ac:dyDescent="0.25">
      <c r="C567" s="31"/>
      <c r="I567" s="43"/>
      <c r="J567" s="43"/>
      <c r="K567" s="43"/>
      <c r="N567" s="31"/>
      <c r="O567" s="43"/>
    </row>
    <row r="568" spans="3:15" x14ac:dyDescent="0.25">
      <c r="C568" s="31"/>
      <c r="I568" s="43"/>
      <c r="J568" s="43"/>
      <c r="K568" s="43"/>
      <c r="N568" s="31"/>
      <c r="O568" s="43"/>
    </row>
    <row r="569" spans="3:15" x14ac:dyDescent="0.25">
      <c r="C569" s="31"/>
      <c r="I569" s="43"/>
      <c r="J569" s="43"/>
      <c r="K569" s="43"/>
      <c r="N569" s="31"/>
      <c r="O569" s="43"/>
    </row>
    <row r="570" spans="3:15" x14ac:dyDescent="0.25">
      <c r="C570" s="31"/>
      <c r="I570" s="43"/>
      <c r="J570" s="43"/>
      <c r="K570" s="43"/>
      <c r="N570" s="31"/>
      <c r="O570" s="43"/>
    </row>
    <row r="571" spans="3:15" x14ac:dyDescent="0.25">
      <c r="C571" s="31"/>
      <c r="I571" s="43"/>
      <c r="J571" s="43"/>
      <c r="K571" s="43"/>
      <c r="N571" s="31"/>
      <c r="O571" s="43"/>
    </row>
    <row r="572" spans="3:15" x14ac:dyDescent="0.25">
      <c r="C572" s="31"/>
      <c r="I572" s="43"/>
      <c r="J572" s="43"/>
      <c r="K572" s="43"/>
      <c r="N572" s="31"/>
      <c r="O572" s="43"/>
    </row>
    <row r="573" spans="3:15" x14ac:dyDescent="0.25">
      <c r="C573" s="31"/>
      <c r="I573" s="43"/>
      <c r="J573" s="43"/>
      <c r="K573" s="43"/>
      <c r="N573" s="31"/>
      <c r="O573" s="43"/>
    </row>
    <row r="574" spans="3:15" x14ac:dyDescent="0.25">
      <c r="C574" s="31"/>
      <c r="I574" s="43"/>
      <c r="J574" s="43"/>
      <c r="K574" s="43"/>
      <c r="N574" s="31"/>
      <c r="O574" s="43"/>
    </row>
    <row r="575" spans="3:15" x14ac:dyDescent="0.25">
      <c r="C575" s="31"/>
      <c r="I575" s="43"/>
      <c r="J575" s="43"/>
      <c r="K575" s="43"/>
      <c r="N575" s="31"/>
      <c r="O575" s="43"/>
    </row>
    <row r="576" spans="3:15" x14ac:dyDescent="0.25">
      <c r="C576" s="31"/>
      <c r="I576" s="43"/>
      <c r="J576" s="43"/>
      <c r="K576" s="43"/>
      <c r="N576" s="31"/>
      <c r="O576" s="43"/>
    </row>
    <row r="577" spans="3:15" x14ac:dyDescent="0.25">
      <c r="C577" s="31"/>
      <c r="I577" s="43"/>
      <c r="J577" s="43"/>
      <c r="K577" s="43"/>
      <c r="N577" s="31"/>
      <c r="O577" s="43"/>
    </row>
    <row r="578" spans="3:15" x14ac:dyDescent="0.25">
      <c r="C578" s="31"/>
      <c r="I578" s="43"/>
      <c r="J578" s="43"/>
      <c r="K578" s="43"/>
      <c r="N578" s="31"/>
      <c r="O578" s="43"/>
    </row>
    <row r="579" spans="3:15" x14ac:dyDescent="0.25">
      <c r="C579" s="31"/>
      <c r="I579" s="43"/>
      <c r="J579" s="43"/>
      <c r="K579" s="43"/>
      <c r="N579" s="31"/>
      <c r="O579" s="43"/>
    </row>
    <row r="580" spans="3:15" x14ac:dyDescent="0.25">
      <c r="C580" s="31"/>
      <c r="I580" s="43"/>
      <c r="J580" s="43"/>
      <c r="K580" s="43"/>
      <c r="N580" s="31"/>
      <c r="O580" s="43"/>
    </row>
    <row r="581" spans="3:15" x14ac:dyDescent="0.25">
      <c r="C581" s="31"/>
      <c r="I581" s="43"/>
      <c r="J581" s="43"/>
      <c r="K581" s="43"/>
      <c r="N581" s="31"/>
      <c r="O581" s="43"/>
    </row>
    <row r="582" spans="3:15" x14ac:dyDescent="0.25">
      <c r="C582" s="31"/>
      <c r="I582" s="43"/>
      <c r="J582" s="43"/>
      <c r="K582" s="43"/>
      <c r="N582" s="31"/>
      <c r="O582" s="43"/>
    </row>
    <row r="583" spans="3:15" x14ac:dyDescent="0.25">
      <c r="C583" s="31"/>
      <c r="I583" s="43"/>
      <c r="J583" s="43"/>
      <c r="K583" s="43"/>
      <c r="N583" s="31"/>
      <c r="O583" s="43"/>
    </row>
    <row r="584" spans="3:15" x14ac:dyDescent="0.25">
      <c r="C584" s="31"/>
      <c r="I584" s="43"/>
      <c r="J584" s="43"/>
      <c r="K584" s="43"/>
      <c r="N584" s="31"/>
      <c r="O584" s="43"/>
    </row>
    <row r="585" spans="3:15" x14ac:dyDescent="0.25">
      <c r="C585" s="31"/>
      <c r="I585" s="43"/>
      <c r="J585" s="43"/>
      <c r="K585" s="43"/>
      <c r="N585" s="31"/>
      <c r="O585" s="43"/>
    </row>
    <row r="586" spans="3:15" x14ac:dyDescent="0.25">
      <c r="C586" s="31"/>
      <c r="I586" s="43"/>
      <c r="J586" s="43"/>
      <c r="K586" s="43"/>
      <c r="N586" s="31"/>
      <c r="O586" s="43"/>
    </row>
    <row r="587" spans="3:15" x14ac:dyDescent="0.25">
      <c r="C587" s="31"/>
      <c r="I587" s="43"/>
      <c r="J587" s="43"/>
      <c r="K587" s="43"/>
      <c r="N587" s="31"/>
      <c r="O587" s="43"/>
    </row>
    <row r="588" spans="3:15" x14ac:dyDescent="0.25">
      <c r="C588" s="31"/>
      <c r="I588" s="43"/>
      <c r="J588" s="43"/>
      <c r="K588" s="43"/>
      <c r="N588" s="31"/>
      <c r="O588" s="43"/>
    </row>
    <row r="589" spans="3:15" x14ac:dyDescent="0.25">
      <c r="C589" s="31"/>
      <c r="I589" s="43"/>
      <c r="J589" s="43"/>
      <c r="K589" s="43"/>
      <c r="N589" s="31"/>
      <c r="O589" s="43"/>
    </row>
    <row r="590" spans="3:15" x14ac:dyDescent="0.25">
      <c r="C590" s="31"/>
      <c r="I590" s="43"/>
      <c r="J590" s="43"/>
      <c r="K590" s="43"/>
      <c r="N590" s="31"/>
      <c r="O590" s="43"/>
    </row>
    <row r="591" spans="3:15" x14ac:dyDescent="0.25">
      <c r="C591" s="31"/>
      <c r="I591" s="43"/>
      <c r="J591" s="43"/>
      <c r="K591" s="43"/>
      <c r="N591" s="31"/>
      <c r="O591" s="43"/>
    </row>
    <row r="592" spans="3:15" x14ac:dyDescent="0.25">
      <c r="C592" s="31"/>
      <c r="I592" s="43"/>
      <c r="J592" s="43"/>
      <c r="K592" s="43"/>
      <c r="N592" s="31"/>
      <c r="O592" s="43"/>
    </row>
    <row r="593" spans="3:15" x14ac:dyDescent="0.25">
      <c r="C593" s="31"/>
      <c r="I593" s="43"/>
      <c r="J593" s="43"/>
      <c r="K593" s="43"/>
      <c r="N593" s="31"/>
      <c r="O593" s="43"/>
    </row>
    <row r="594" spans="3:15" x14ac:dyDescent="0.25">
      <c r="C594" s="31"/>
      <c r="I594" s="43"/>
      <c r="J594" s="43"/>
      <c r="K594" s="43"/>
      <c r="N594" s="31"/>
      <c r="O594" s="43"/>
    </row>
    <row r="595" spans="3:15" x14ac:dyDescent="0.25">
      <c r="C595" s="31"/>
      <c r="I595" s="43"/>
      <c r="J595" s="43"/>
      <c r="K595" s="43"/>
      <c r="N595" s="31"/>
      <c r="O595" s="43"/>
    </row>
    <row r="596" spans="3:15" x14ac:dyDescent="0.25">
      <c r="C596" s="31"/>
      <c r="I596" s="43"/>
      <c r="J596" s="43"/>
      <c r="K596" s="43"/>
      <c r="N596" s="31"/>
      <c r="O596" s="43"/>
    </row>
    <row r="597" spans="3:15" x14ac:dyDescent="0.25">
      <c r="C597" s="31"/>
      <c r="I597" s="43"/>
      <c r="J597" s="43"/>
      <c r="K597" s="43"/>
      <c r="N597" s="31"/>
      <c r="O597" s="43"/>
    </row>
    <row r="598" spans="3:15" x14ac:dyDescent="0.25">
      <c r="C598" s="31"/>
      <c r="I598" s="43"/>
      <c r="J598" s="43"/>
      <c r="K598" s="43"/>
      <c r="N598" s="31"/>
      <c r="O598" s="43"/>
    </row>
    <row r="599" spans="3:15" x14ac:dyDescent="0.25">
      <c r="C599" s="31"/>
      <c r="I599" s="43"/>
      <c r="J599" s="43"/>
      <c r="K599" s="43"/>
      <c r="N599" s="31"/>
      <c r="O599" s="43"/>
    </row>
    <row r="600" spans="3:15" x14ac:dyDescent="0.25">
      <c r="C600" s="31"/>
      <c r="I600" s="43"/>
      <c r="J600" s="43"/>
      <c r="K600" s="43"/>
      <c r="N600" s="31"/>
      <c r="O600" s="43"/>
    </row>
    <row r="601" spans="3:15" x14ac:dyDescent="0.25">
      <c r="C601" s="31"/>
      <c r="I601" s="43"/>
      <c r="J601" s="43"/>
      <c r="K601" s="43"/>
      <c r="N601" s="31"/>
      <c r="O601" s="43"/>
    </row>
    <row r="602" spans="3:15" x14ac:dyDescent="0.25">
      <c r="C602" s="31"/>
      <c r="I602" s="43"/>
      <c r="J602" s="43"/>
      <c r="K602" s="43"/>
      <c r="N602" s="31"/>
      <c r="O602" s="43"/>
    </row>
    <row r="603" spans="3:15" x14ac:dyDescent="0.25">
      <c r="C603" s="31"/>
      <c r="I603" s="43"/>
      <c r="J603" s="43"/>
      <c r="K603" s="43"/>
      <c r="N603" s="31"/>
      <c r="O603" s="43"/>
    </row>
    <row r="604" spans="3:15" x14ac:dyDescent="0.25">
      <c r="C604" s="31"/>
      <c r="I604" s="43"/>
      <c r="J604" s="43"/>
      <c r="K604" s="43"/>
      <c r="N604" s="31"/>
      <c r="O604" s="43"/>
    </row>
    <row r="605" spans="3:15" x14ac:dyDescent="0.25">
      <c r="C605" s="31"/>
      <c r="I605" s="43"/>
      <c r="J605" s="43"/>
      <c r="K605" s="43"/>
      <c r="N605" s="31"/>
      <c r="O605" s="43"/>
    </row>
    <row r="606" spans="3:15" x14ac:dyDescent="0.25">
      <c r="C606" s="31"/>
      <c r="I606" s="43"/>
      <c r="J606" s="43"/>
      <c r="K606" s="43"/>
      <c r="N606" s="31"/>
      <c r="O606" s="43"/>
    </row>
    <row r="607" spans="3:15" x14ac:dyDescent="0.25">
      <c r="C607" s="31"/>
      <c r="I607" s="43"/>
      <c r="J607" s="43"/>
      <c r="K607" s="43"/>
      <c r="N607" s="31"/>
      <c r="O607" s="43"/>
    </row>
    <row r="608" spans="3:15" x14ac:dyDescent="0.25">
      <c r="C608" s="31"/>
      <c r="I608" s="43"/>
      <c r="J608" s="43"/>
      <c r="K608" s="43"/>
      <c r="N608" s="31"/>
      <c r="O608" s="43"/>
    </row>
    <row r="609" spans="3:15" x14ac:dyDescent="0.25">
      <c r="C609" s="31"/>
      <c r="I609" s="43"/>
      <c r="J609" s="43"/>
      <c r="K609" s="43"/>
      <c r="N609" s="31"/>
      <c r="O609" s="43"/>
    </row>
    <row r="610" spans="3:15" x14ac:dyDescent="0.25">
      <c r="C610" s="31"/>
      <c r="I610" s="43"/>
      <c r="J610" s="43"/>
      <c r="K610" s="43"/>
      <c r="N610" s="31"/>
      <c r="O610" s="43"/>
    </row>
    <row r="611" spans="3:15" x14ac:dyDescent="0.25">
      <c r="C611" s="31"/>
      <c r="I611" s="43"/>
      <c r="J611" s="43"/>
      <c r="K611" s="43"/>
      <c r="N611" s="31"/>
      <c r="O611" s="43"/>
    </row>
    <row r="612" spans="3:15" x14ac:dyDescent="0.25">
      <c r="C612" s="31"/>
      <c r="I612" s="43"/>
      <c r="J612" s="43"/>
      <c r="K612" s="43"/>
      <c r="N612" s="31"/>
      <c r="O612" s="43"/>
    </row>
    <row r="613" spans="3:15" x14ac:dyDescent="0.25">
      <c r="C613" s="31"/>
      <c r="I613" s="43"/>
      <c r="J613" s="43"/>
      <c r="K613" s="43"/>
      <c r="N613" s="31"/>
      <c r="O613" s="43"/>
    </row>
    <row r="614" spans="3:15" x14ac:dyDescent="0.25">
      <c r="C614" s="31"/>
      <c r="I614" s="43"/>
      <c r="J614" s="43"/>
      <c r="K614" s="43"/>
      <c r="N614" s="31"/>
      <c r="O614" s="43"/>
    </row>
    <row r="615" spans="3:15" x14ac:dyDescent="0.25">
      <c r="C615" s="31"/>
      <c r="I615" s="43"/>
      <c r="J615" s="43"/>
      <c r="K615" s="43"/>
      <c r="N615" s="31"/>
      <c r="O615" s="43"/>
    </row>
    <row r="616" spans="3:15" x14ac:dyDescent="0.25">
      <c r="C616" s="31"/>
      <c r="I616" s="43"/>
      <c r="J616" s="43"/>
      <c r="K616" s="43"/>
      <c r="N616" s="31"/>
      <c r="O616" s="43"/>
    </row>
    <row r="617" spans="3:15" x14ac:dyDescent="0.25">
      <c r="C617" s="31"/>
      <c r="I617" s="43"/>
      <c r="J617" s="43"/>
      <c r="K617" s="43"/>
      <c r="N617" s="31"/>
      <c r="O617" s="43"/>
    </row>
    <row r="618" spans="3:15" x14ac:dyDescent="0.25">
      <c r="C618" s="31"/>
      <c r="I618" s="43"/>
      <c r="J618" s="43"/>
      <c r="K618" s="43"/>
      <c r="N618" s="31"/>
      <c r="O618" s="43"/>
    </row>
    <row r="619" spans="3:15" x14ac:dyDescent="0.25">
      <c r="C619" s="31"/>
      <c r="I619" s="43"/>
      <c r="J619" s="43"/>
      <c r="K619" s="43"/>
      <c r="N619" s="31"/>
      <c r="O619" s="43"/>
    </row>
    <row r="620" spans="3:15" x14ac:dyDescent="0.25">
      <c r="C620" s="31"/>
      <c r="I620" s="43"/>
      <c r="J620" s="43"/>
      <c r="K620" s="43"/>
      <c r="N620" s="31"/>
      <c r="O620" s="43"/>
    </row>
    <row r="621" spans="3:15" x14ac:dyDescent="0.25">
      <c r="C621" s="31"/>
      <c r="I621" s="43"/>
      <c r="J621" s="43"/>
      <c r="K621" s="43"/>
      <c r="N621" s="31"/>
      <c r="O621" s="43"/>
    </row>
    <row r="622" spans="3:15" x14ac:dyDescent="0.25">
      <c r="C622" s="31"/>
      <c r="I622" s="43"/>
      <c r="J622" s="43"/>
      <c r="K622" s="43"/>
      <c r="N622" s="31"/>
      <c r="O622" s="43"/>
    </row>
    <row r="623" spans="3:15" x14ac:dyDescent="0.25">
      <c r="C623" s="31"/>
      <c r="I623" s="43"/>
      <c r="J623" s="43"/>
      <c r="K623" s="43"/>
      <c r="N623" s="31"/>
      <c r="O623" s="43"/>
    </row>
    <row r="624" spans="3:15" x14ac:dyDescent="0.25">
      <c r="C624" s="31"/>
      <c r="I624" s="43"/>
      <c r="J624" s="43"/>
      <c r="K624" s="43"/>
      <c r="N624" s="31"/>
      <c r="O624" s="43"/>
    </row>
    <row r="625" spans="3:15" x14ac:dyDescent="0.25">
      <c r="C625" s="31"/>
      <c r="I625" s="43"/>
      <c r="J625" s="43"/>
      <c r="K625" s="43"/>
      <c r="N625" s="31"/>
      <c r="O625" s="43"/>
    </row>
    <row r="626" spans="3:15" x14ac:dyDescent="0.25">
      <c r="C626" s="31"/>
      <c r="I626" s="43"/>
      <c r="J626" s="43"/>
      <c r="K626" s="43"/>
      <c r="N626" s="31"/>
      <c r="O626" s="43"/>
    </row>
    <row r="627" spans="3:15" x14ac:dyDescent="0.25">
      <c r="C627" s="31"/>
      <c r="I627" s="43"/>
      <c r="J627" s="43"/>
      <c r="K627" s="43"/>
      <c r="N627" s="31"/>
      <c r="O627" s="43"/>
    </row>
    <row r="628" spans="3:15" x14ac:dyDescent="0.25">
      <c r="C628" s="31"/>
      <c r="I628" s="43"/>
      <c r="J628" s="43"/>
      <c r="K628" s="43"/>
      <c r="N628" s="31"/>
      <c r="O628" s="43"/>
    </row>
    <row r="629" spans="3:15" x14ac:dyDescent="0.25">
      <c r="C629" s="31"/>
      <c r="I629" s="43"/>
      <c r="J629" s="43"/>
      <c r="K629" s="43"/>
      <c r="N629" s="31"/>
      <c r="O629" s="43"/>
    </row>
    <row r="630" spans="3:15" x14ac:dyDescent="0.25">
      <c r="C630" s="31"/>
      <c r="I630" s="43"/>
      <c r="J630" s="43"/>
      <c r="K630" s="43"/>
      <c r="N630" s="31"/>
      <c r="O630" s="43"/>
    </row>
    <row r="631" spans="3:15" x14ac:dyDescent="0.25">
      <c r="C631" s="31"/>
      <c r="I631" s="43"/>
      <c r="J631" s="43"/>
      <c r="K631" s="43"/>
      <c r="N631" s="31"/>
      <c r="O631" s="43"/>
    </row>
    <row r="632" spans="3:15" x14ac:dyDescent="0.25">
      <c r="C632" s="31"/>
      <c r="I632" s="43"/>
      <c r="J632" s="43"/>
      <c r="K632" s="43"/>
      <c r="N632" s="31"/>
      <c r="O632" s="43"/>
    </row>
    <row r="633" spans="3:15" x14ac:dyDescent="0.25">
      <c r="C633" s="31"/>
      <c r="I633" s="43"/>
      <c r="J633" s="43"/>
      <c r="K633" s="43"/>
      <c r="N633" s="31"/>
      <c r="O633" s="43"/>
    </row>
    <row r="634" spans="3:15" x14ac:dyDescent="0.25">
      <c r="C634" s="31"/>
      <c r="I634" s="43"/>
      <c r="J634" s="43"/>
      <c r="K634" s="43"/>
      <c r="N634" s="31"/>
      <c r="O634" s="43"/>
    </row>
    <row r="635" spans="3:15" x14ac:dyDescent="0.25">
      <c r="C635" s="31"/>
      <c r="I635" s="43"/>
      <c r="J635" s="43"/>
      <c r="K635" s="43"/>
      <c r="N635" s="31"/>
      <c r="O635" s="43"/>
    </row>
    <row r="636" spans="3:15" x14ac:dyDescent="0.25">
      <c r="C636" s="31"/>
      <c r="I636" s="43"/>
      <c r="J636" s="43"/>
      <c r="K636" s="43"/>
      <c r="N636" s="31"/>
      <c r="O636" s="43"/>
    </row>
    <row r="637" spans="3:15" x14ac:dyDescent="0.25">
      <c r="C637" s="31"/>
      <c r="I637" s="43"/>
      <c r="J637" s="43"/>
      <c r="K637" s="43"/>
      <c r="N637" s="31"/>
      <c r="O637" s="43"/>
    </row>
    <row r="638" spans="3:15" x14ac:dyDescent="0.25">
      <c r="C638" s="31"/>
      <c r="I638" s="43"/>
      <c r="J638" s="43"/>
      <c r="K638" s="43"/>
      <c r="N638" s="31"/>
      <c r="O638" s="43"/>
    </row>
    <row r="639" spans="3:15" x14ac:dyDescent="0.25">
      <c r="C639" s="31"/>
      <c r="I639" s="43"/>
      <c r="J639" s="43"/>
      <c r="K639" s="43"/>
      <c r="N639" s="31"/>
      <c r="O639" s="43"/>
    </row>
    <row r="640" spans="3:15" x14ac:dyDescent="0.25">
      <c r="C640" s="31"/>
      <c r="I640" s="43"/>
      <c r="J640" s="43"/>
      <c r="K640" s="43"/>
      <c r="N640" s="31"/>
      <c r="O640" s="43"/>
    </row>
    <row r="641" spans="3:15" x14ac:dyDescent="0.25">
      <c r="C641" s="31"/>
      <c r="I641" s="43"/>
      <c r="J641" s="43"/>
      <c r="K641" s="43"/>
      <c r="N641" s="31"/>
      <c r="O641" s="43"/>
    </row>
    <row r="642" spans="3:15" x14ac:dyDescent="0.25">
      <c r="C642" s="31"/>
      <c r="I642" s="43"/>
      <c r="J642" s="43"/>
      <c r="K642" s="43"/>
      <c r="N642" s="31"/>
      <c r="O642" s="43"/>
    </row>
    <row r="643" spans="3:15" x14ac:dyDescent="0.25">
      <c r="C643" s="31"/>
      <c r="I643" s="43"/>
      <c r="J643" s="43"/>
      <c r="K643" s="43"/>
      <c r="N643" s="31"/>
      <c r="O643" s="43"/>
    </row>
    <row r="644" spans="3:15" x14ac:dyDescent="0.25">
      <c r="C644" s="31"/>
      <c r="I644" s="43"/>
      <c r="J644" s="43"/>
      <c r="K644" s="43"/>
      <c r="N644" s="31"/>
      <c r="O644" s="43"/>
    </row>
    <row r="645" spans="3:15" x14ac:dyDescent="0.25">
      <c r="C645" s="31"/>
      <c r="I645" s="43"/>
      <c r="J645" s="43"/>
      <c r="K645" s="43"/>
      <c r="N645" s="31"/>
      <c r="O645" s="43"/>
    </row>
    <row r="646" spans="3:15" x14ac:dyDescent="0.25">
      <c r="C646" s="31"/>
      <c r="I646" s="43"/>
      <c r="J646" s="43"/>
      <c r="K646" s="43"/>
      <c r="N646" s="31"/>
      <c r="O646" s="43"/>
    </row>
    <row r="647" spans="3:15" x14ac:dyDescent="0.25">
      <c r="C647" s="31"/>
      <c r="I647" s="43"/>
      <c r="J647" s="43"/>
      <c r="K647" s="43"/>
      <c r="N647" s="31"/>
      <c r="O647" s="43"/>
    </row>
    <row r="648" spans="3:15" x14ac:dyDescent="0.25">
      <c r="C648" s="31"/>
      <c r="I648" s="43"/>
      <c r="J648" s="43"/>
      <c r="K648" s="43"/>
      <c r="N648" s="31"/>
      <c r="O648" s="43"/>
    </row>
    <row r="649" spans="3:15" x14ac:dyDescent="0.25">
      <c r="C649" s="31"/>
      <c r="I649" s="43"/>
      <c r="J649" s="43"/>
      <c r="K649" s="43"/>
      <c r="N649" s="31"/>
      <c r="O649" s="43"/>
    </row>
    <row r="650" spans="3:15" x14ac:dyDescent="0.25">
      <c r="C650" s="31"/>
      <c r="I650" s="43"/>
      <c r="J650" s="43"/>
      <c r="K650" s="43"/>
      <c r="N650" s="31"/>
      <c r="O650" s="43"/>
    </row>
    <row r="651" spans="3:15" x14ac:dyDescent="0.25">
      <c r="C651" s="31"/>
      <c r="I651" s="43"/>
      <c r="J651" s="43"/>
      <c r="K651" s="43"/>
      <c r="N651" s="31"/>
      <c r="O651" s="43"/>
    </row>
    <row r="652" spans="3:15" x14ac:dyDescent="0.25">
      <c r="C652" s="31"/>
      <c r="I652" s="43"/>
      <c r="J652" s="43"/>
      <c r="K652" s="43"/>
      <c r="N652" s="31"/>
      <c r="O652" s="43"/>
    </row>
    <row r="653" spans="3:15" x14ac:dyDescent="0.25">
      <c r="C653" s="31"/>
      <c r="I653" s="43"/>
      <c r="J653" s="43"/>
      <c r="K653" s="43"/>
      <c r="N653" s="31"/>
      <c r="O653" s="43"/>
    </row>
    <row r="654" spans="3:15" x14ac:dyDescent="0.25">
      <c r="C654" s="31"/>
      <c r="I654" s="43"/>
      <c r="J654" s="43"/>
      <c r="K654" s="43"/>
      <c r="N654" s="31"/>
      <c r="O654" s="43"/>
    </row>
    <row r="655" spans="3:15" x14ac:dyDescent="0.25">
      <c r="C655" s="31"/>
      <c r="I655" s="43"/>
      <c r="J655" s="43"/>
      <c r="K655" s="43"/>
      <c r="N655" s="31"/>
      <c r="O655" s="43"/>
    </row>
    <row r="656" spans="3:15" x14ac:dyDescent="0.25">
      <c r="C656" s="31"/>
      <c r="I656" s="43"/>
      <c r="J656" s="43"/>
      <c r="K656" s="43"/>
      <c r="N656" s="31"/>
      <c r="O656" s="43"/>
    </row>
    <row r="657" spans="3:15" x14ac:dyDescent="0.25">
      <c r="C657" s="31"/>
      <c r="I657" s="43"/>
      <c r="J657" s="43"/>
      <c r="K657" s="43"/>
      <c r="N657" s="31"/>
      <c r="O657" s="43"/>
    </row>
    <row r="658" spans="3:15" x14ac:dyDescent="0.25">
      <c r="C658" s="31"/>
      <c r="I658" s="43"/>
      <c r="J658" s="43"/>
      <c r="K658" s="43"/>
      <c r="N658" s="31"/>
      <c r="O658" s="43"/>
    </row>
    <row r="659" spans="3:15" x14ac:dyDescent="0.25">
      <c r="C659" s="31"/>
      <c r="I659" s="43"/>
      <c r="J659" s="43"/>
      <c r="K659" s="43"/>
      <c r="N659" s="31"/>
      <c r="O659" s="43"/>
    </row>
    <row r="660" spans="3:15" x14ac:dyDescent="0.25">
      <c r="C660" s="31"/>
      <c r="I660" s="43"/>
      <c r="J660" s="43"/>
      <c r="K660" s="43"/>
      <c r="N660" s="31"/>
      <c r="O660" s="43"/>
    </row>
    <row r="661" spans="3:15" x14ac:dyDescent="0.25">
      <c r="C661" s="31"/>
      <c r="I661" s="43"/>
      <c r="J661" s="43"/>
      <c r="K661" s="43"/>
      <c r="N661" s="31"/>
      <c r="O661" s="43"/>
    </row>
    <row r="662" spans="3:15" x14ac:dyDescent="0.25">
      <c r="C662" s="31"/>
      <c r="I662" s="43"/>
      <c r="J662" s="43"/>
      <c r="K662" s="43"/>
      <c r="N662" s="31"/>
      <c r="O662" s="43"/>
    </row>
    <row r="663" spans="3:15" x14ac:dyDescent="0.25">
      <c r="C663" s="31"/>
      <c r="I663" s="43"/>
      <c r="J663" s="43"/>
      <c r="K663" s="43"/>
      <c r="N663" s="31"/>
      <c r="O663" s="43"/>
    </row>
    <row r="664" spans="3:15" x14ac:dyDescent="0.25">
      <c r="C664" s="31"/>
      <c r="I664" s="43"/>
      <c r="J664" s="43"/>
      <c r="K664" s="43"/>
      <c r="N664" s="31"/>
      <c r="O664" s="43"/>
    </row>
    <row r="665" spans="3:15" x14ac:dyDescent="0.25">
      <c r="C665" s="31"/>
      <c r="I665" s="43"/>
      <c r="J665" s="43"/>
      <c r="K665" s="43"/>
      <c r="N665" s="31"/>
      <c r="O665" s="43"/>
    </row>
    <row r="666" spans="3:15" x14ac:dyDescent="0.25">
      <c r="C666" s="31"/>
      <c r="I666" s="43"/>
      <c r="J666" s="43"/>
      <c r="K666" s="43"/>
      <c r="N666" s="31"/>
      <c r="O666" s="43"/>
    </row>
    <row r="667" spans="3:15" x14ac:dyDescent="0.25">
      <c r="C667" s="31"/>
      <c r="I667" s="43"/>
      <c r="J667" s="43"/>
      <c r="K667" s="43"/>
      <c r="N667" s="31"/>
      <c r="O667" s="43"/>
    </row>
    <row r="668" spans="3:15" x14ac:dyDescent="0.25">
      <c r="C668" s="31"/>
      <c r="I668" s="43"/>
      <c r="J668" s="43"/>
      <c r="K668" s="43"/>
      <c r="N668" s="31"/>
      <c r="O668" s="43"/>
    </row>
    <row r="669" spans="3:15" x14ac:dyDescent="0.25">
      <c r="C669" s="31"/>
      <c r="I669" s="43"/>
      <c r="J669" s="43"/>
      <c r="K669" s="43"/>
      <c r="N669" s="31"/>
      <c r="O669" s="43"/>
    </row>
    <row r="670" spans="3:15" x14ac:dyDescent="0.25">
      <c r="C670" s="31"/>
      <c r="I670" s="43"/>
      <c r="J670" s="43"/>
      <c r="K670" s="43"/>
      <c r="N670" s="31"/>
      <c r="O670" s="43"/>
    </row>
    <row r="671" spans="3:15" x14ac:dyDescent="0.25">
      <c r="C671" s="31"/>
      <c r="I671" s="43"/>
      <c r="J671" s="43"/>
      <c r="K671" s="43"/>
      <c r="N671" s="31"/>
      <c r="O671" s="43"/>
    </row>
    <row r="672" spans="3:15" x14ac:dyDescent="0.25">
      <c r="C672" s="31"/>
      <c r="I672" s="43"/>
      <c r="J672" s="43"/>
      <c r="K672" s="43"/>
      <c r="N672" s="31"/>
      <c r="O672" s="43"/>
    </row>
    <row r="673" spans="3:15" x14ac:dyDescent="0.25">
      <c r="C673" s="31"/>
      <c r="I673" s="43"/>
      <c r="J673" s="43"/>
      <c r="K673" s="43"/>
      <c r="N673" s="31"/>
      <c r="O673" s="43"/>
    </row>
    <row r="674" spans="3:15" x14ac:dyDescent="0.25">
      <c r="C674" s="31"/>
      <c r="I674" s="43"/>
      <c r="J674" s="43"/>
      <c r="K674" s="43"/>
      <c r="N674" s="31"/>
      <c r="O674" s="43"/>
    </row>
    <row r="675" spans="3:15" x14ac:dyDescent="0.25">
      <c r="C675" s="31"/>
      <c r="I675" s="43"/>
      <c r="J675" s="43"/>
      <c r="K675" s="43"/>
      <c r="N675" s="31"/>
      <c r="O675" s="43"/>
    </row>
    <row r="676" spans="3:15" x14ac:dyDescent="0.25">
      <c r="C676" s="31"/>
      <c r="I676" s="43"/>
      <c r="J676" s="43"/>
      <c r="K676" s="43"/>
      <c r="N676" s="31"/>
      <c r="O676" s="43"/>
    </row>
    <row r="677" spans="3:15" x14ac:dyDescent="0.25">
      <c r="C677" s="31"/>
      <c r="I677" s="43"/>
      <c r="J677" s="43"/>
      <c r="K677" s="43"/>
      <c r="N677" s="31"/>
      <c r="O677" s="43"/>
    </row>
    <row r="678" spans="3:15" x14ac:dyDescent="0.25">
      <c r="C678" s="31"/>
      <c r="I678" s="43"/>
      <c r="J678" s="43"/>
      <c r="K678" s="43"/>
      <c r="N678" s="31"/>
      <c r="O678" s="43"/>
    </row>
    <row r="679" spans="3:15" x14ac:dyDescent="0.25">
      <c r="C679" s="31"/>
      <c r="I679" s="43"/>
      <c r="J679" s="43"/>
      <c r="K679" s="43"/>
      <c r="N679" s="31"/>
      <c r="O679" s="43"/>
    </row>
    <row r="680" spans="3:15" x14ac:dyDescent="0.25">
      <c r="C680" s="31"/>
      <c r="I680" s="43"/>
      <c r="J680" s="43"/>
      <c r="K680" s="43"/>
      <c r="N680" s="31"/>
      <c r="O680" s="43"/>
    </row>
    <row r="681" spans="3:15" x14ac:dyDescent="0.25">
      <c r="C681" s="31"/>
      <c r="I681" s="43"/>
      <c r="J681" s="43"/>
      <c r="K681" s="43"/>
      <c r="N681" s="31"/>
      <c r="O681" s="43"/>
    </row>
    <row r="682" spans="3:15" x14ac:dyDescent="0.25">
      <c r="C682" s="31"/>
      <c r="I682" s="43"/>
      <c r="J682" s="43"/>
      <c r="K682" s="43"/>
      <c r="N682" s="31"/>
      <c r="O682" s="43"/>
    </row>
    <row r="683" spans="3:15" x14ac:dyDescent="0.25">
      <c r="C683" s="31"/>
      <c r="I683" s="43"/>
      <c r="J683" s="43"/>
      <c r="K683" s="43"/>
      <c r="N683" s="31"/>
      <c r="O683" s="43"/>
    </row>
    <row r="684" spans="3:15" x14ac:dyDescent="0.25">
      <c r="C684" s="31"/>
      <c r="I684" s="43"/>
      <c r="J684" s="43"/>
      <c r="K684" s="43"/>
      <c r="N684" s="31"/>
      <c r="O684" s="43"/>
    </row>
    <row r="685" spans="3:15" x14ac:dyDescent="0.25">
      <c r="C685" s="31"/>
      <c r="I685" s="43"/>
      <c r="J685" s="43"/>
      <c r="K685" s="43"/>
      <c r="N685" s="31"/>
      <c r="O685" s="43"/>
    </row>
    <row r="686" spans="3:15" x14ac:dyDescent="0.25">
      <c r="C686" s="31"/>
      <c r="I686" s="43"/>
      <c r="J686" s="43"/>
      <c r="K686" s="43"/>
      <c r="N686" s="31"/>
      <c r="O686" s="43"/>
    </row>
    <row r="687" spans="3:15" x14ac:dyDescent="0.25">
      <c r="C687" s="31"/>
      <c r="I687" s="43"/>
      <c r="J687" s="43"/>
      <c r="K687" s="43"/>
      <c r="N687" s="31"/>
      <c r="O687" s="43"/>
    </row>
    <row r="688" spans="3:15" x14ac:dyDescent="0.25">
      <c r="C688" s="31"/>
      <c r="I688" s="43"/>
      <c r="J688" s="43"/>
      <c r="K688" s="43"/>
      <c r="N688" s="31"/>
      <c r="O688" s="43"/>
    </row>
    <row r="689" spans="3:15" x14ac:dyDescent="0.25">
      <c r="C689" s="31"/>
      <c r="I689" s="43"/>
      <c r="J689" s="43"/>
      <c r="K689" s="43"/>
      <c r="N689" s="31"/>
      <c r="O689" s="43"/>
    </row>
    <row r="690" spans="3:15" x14ac:dyDescent="0.25">
      <c r="C690" s="31"/>
      <c r="I690" s="43"/>
      <c r="J690" s="43"/>
      <c r="K690" s="43"/>
      <c r="N690" s="31"/>
      <c r="O690" s="43"/>
    </row>
    <row r="691" spans="3:15" x14ac:dyDescent="0.25">
      <c r="C691" s="31"/>
      <c r="I691" s="43"/>
      <c r="J691" s="43"/>
      <c r="K691" s="43"/>
      <c r="N691" s="31"/>
      <c r="O691" s="43"/>
    </row>
    <row r="692" spans="3:15" x14ac:dyDescent="0.25">
      <c r="C692" s="31"/>
      <c r="I692" s="43"/>
      <c r="J692" s="43"/>
      <c r="K692" s="43"/>
      <c r="N692" s="31"/>
      <c r="O692" s="43"/>
    </row>
    <row r="693" spans="3:15" x14ac:dyDescent="0.25">
      <c r="C693" s="31"/>
      <c r="I693" s="43"/>
      <c r="J693" s="43"/>
      <c r="K693" s="43"/>
      <c r="N693" s="31"/>
      <c r="O693" s="43"/>
    </row>
    <row r="694" spans="3:15" x14ac:dyDescent="0.25">
      <c r="C694" s="31"/>
      <c r="I694" s="43"/>
      <c r="J694" s="43"/>
      <c r="K694" s="43"/>
      <c r="N694" s="31"/>
      <c r="O694" s="43"/>
    </row>
    <row r="695" spans="3:15" x14ac:dyDescent="0.25">
      <c r="C695" s="31"/>
      <c r="I695" s="43"/>
      <c r="J695" s="43"/>
      <c r="K695" s="43"/>
      <c r="N695" s="31"/>
      <c r="O695" s="43"/>
    </row>
    <row r="696" spans="3:15" x14ac:dyDescent="0.25">
      <c r="C696" s="31"/>
      <c r="I696" s="43"/>
      <c r="J696" s="43"/>
      <c r="K696" s="43"/>
      <c r="N696" s="31"/>
      <c r="O696" s="43"/>
    </row>
    <row r="697" spans="3:15" x14ac:dyDescent="0.25">
      <c r="C697" s="31"/>
      <c r="I697" s="43"/>
      <c r="J697" s="43"/>
      <c r="K697" s="43"/>
      <c r="N697" s="31"/>
      <c r="O697" s="43"/>
    </row>
    <row r="698" spans="3:15" x14ac:dyDescent="0.25">
      <c r="C698" s="31"/>
      <c r="I698" s="43"/>
      <c r="J698" s="43"/>
      <c r="K698" s="43"/>
      <c r="N698" s="31"/>
      <c r="O698" s="43"/>
    </row>
    <row r="699" spans="3:15" x14ac:dyDescent="0.25">
      <c r="C699" s="31"/>
      <c r="I699" s="43"/>
      <c r="J699" s="43"/>
      <c r="K699" s="43"/>
      <c r="N699" s="31"/>
      <c r="O699" s="43"/>
    </row>
    <row r="700" spans="3:15" x14ac:dyDescent="0.25">
      <c r="C700" s="31"/>
      <c r="I700" s="43"/>
      <c r="J700" s="43"/>
      <c r="K700" s="43"/>
      <c r="N700" s="31"/>
      <c r="O700" s="43"/>
    </row>
    <row r="701" spans="3:15" x14ac:dyDescent="0.25">
      <c r="C701" s="31"/>
      <c r="I701" s="43"/>
      <c r="J701" s="43"/>
      <c r="K701" s="43"/>
      <c r="N701" s="31"/>
      <c r="O701" s="43"/>
    </row>
    <row r="702" spans="3:15" x14ac:dyDescent="0.25">
      <c r="C702" s="31"/>
      <c r="I702" s="43"/>
      <c r="J702" s="43"/>
      <c r="K702" s="43"/>
      <c r="N702" s="31"/>
      <c r="O702" s="43"/>
    </row>
    <row r="703" spans="3:15" x14ac:dyDescent="0.25">
      <c r="C703" s="31"/>
      <c r="I703" s="43"/>
      <c r="J703" s="43"/>
      <c r="K703" s="43"/>
      <c r="N703" s="31"/>
      <c r="O703" s="43"/>
    </row>
    <row r="704" spans="3:15" x14ac:dyDescent="0.25">
      <c r="C704" s="31"/>
      <c r="I704" s="43"/>
      <c r="J704" s="43"/>
      <c r="K704" s="43"/>
      <c r="N704" s="31"/>
      <c r="O704" s="43"/>
    </row>
    <row r="705" spans="3:15" x14ac:dyDescent="0.25">
      <c r="C705" s="31"/>
      <c r="I705" s="43"/>
      <c r="J705" s="43"/>
      <c r="K705" s="43"/>
      <c r="N705" s="31"/>
      <c r="O705" s="43"/>
    </row>
    <row r="706" spans="3:15" x14ac:dyDescent="0.25">
      <c r="C706" s="31"/>
      <c r="I706" s="43"/>
      <c r="J706" s="43"/>
      <c r="K706" s="43"/>
      <c r="N706" s="31"/>
      <c r="O706" s="43"/>
    </row>
    <row r="707" spans="3:15" x14ac:dyDescent="0.25">
      <c r="C707" s="31"/>
      <c r="I707" s="43"/>
      <c r="J707" s="43"/>
      <c r="K707" s="43"/>
      <c r="N707" s="31"/>
      <c r="O707" s="43"/>
    </row>
    <row r="708" spans="3:15" x14ac:dyDescent="0.25">
      <c r="C708" s="31"/>
      <c r="I708" s="43"/>
      <c r="J708" s="43"/>
      <c r="K708" s="43"/>
      <c r="N708" s="31"/>
      <c r="O708" s="43"/>
    </row>
    <row r="709" spans="3:15" x14ac:dyDescent="0.25">
      <c r="C709" s="31"/>
      <c r="I709" s="43"/>
      <c r="J709" s="43"/>
      <c r="K709" s="43"/>
      <c r="N709" s="31"/>
      <c r="O709" s="43"/>
    </row>
    <row r="710" spans="3:15" x14ac:dyDescent="0.25">
      <c r="C710" s="31"/>
      <c r="I710" s="43"/>
      <c r="J710" s="43"/>
      <c r="K710" s="43"/>
      <c r="N710" s="31"/>
      <c r="O710" s="43"/>
    </row>
    <row r="711" spans="3:15" x14ac:dyDescent="0.25">
      <c r="C711" s="31"/>
      <c r="I711" s="43"/>
      <c r="J711" s="43"/>
      <c r="K711" s="43"/>
      <c r="N711" s="31"/>
      <c r="O711" s="43"/>
    </row>
    <row r="712" spans="3:15" x14ac:dyDescent="0.25">
      <c r="C712" s="31"/>
      <c r="I712" s="43"/>
      <c r="J712" s="43"/>
      <c r="K712" s="43"/>
      <c r="N712" s="31"/>
      <c r="O712" s="43"/>
    </row>
    <row r="713" spans="3:15" x14ac:dyDescent="0.25">
      <c r="C713" s="31"/>
      <c r="I713" s="43"/>
      <c r="J713" s="43"/>
      <c r="K713" s="43"/>
      <c r="N713" s="31"/>
      <c r="O713" s="43"/>
    </row>
    <row r="714" spans="3:15" x14ac:dyDescent="0.25">
      <c r="C714" s="31"/>
      <c r="I714" s="43"/>
      <c r="J714" s="43"/>
      <c r="K714" s="43"/>
      <c r="N714" s="31"/>
      <c r="O714" s="43"/>
    </row>
    <row r="715" spans="3:15" x14ac:dyDescent="0.25">
      <c r="C715" s="31"/>
      <c r="I715" s="43"/>
      <c r="J715" s="43"/>
      <c r="K715" s="43"/>
      <c r="N715" s="31"/>
      <c r="O715" s="43"/>
    </row>
    <row r="716" spans="3:15" x14ac:dyDescent="0.25">
      <c r="C716" s="31"/>
      <c r="I716" s="43"/>
      <c r="J716" s="43"/>
      <c r="K716" s="43"/>
      <c r="N716" s="31"/>
      <c r="O716" s="43"/>
    </row>
    <row r="717" spans="3:15" x14ac:dyDescent="0.25">
      <c r="C717" s="31"/>
      <c r="I717" s="43"/>
      <c r="J717" s="43"/>
      <c r="K717" s="43"/>
      <c r="N717" s="31"/>
      <c r="O717" s="43"/>
    </row>
    <row r="718" spans="3:15" x14ac:dyDescent="0.25">
      <c r="C718" s="31"/>
      <c r="I718" s="43"/>
      <c r="J718" s="43"/>
      <c r="K718" s="43"/>
      <c r="N718" s="31"/>
      <c r="O718" s="43"/>
    </row>
    <row r="719" spans="3:15" x14ac:dyDescent="0.25">
      <c r="C719" s="31"/>
      <c r="I719" s="43"/>
      <c r="J719" s="43"/>
      <c r="K719" s="43"/>
      <c r="N719" s="31"/>
      <c r="O719" s="43"/>
    </row>
    <row r="720" spans="3:15" x14ac:dyDescent="0.25">
      <c r="C720" s="31"/>
      <c r="I720" s="43"/>
      <c r="J720" s="43"/>
      <c r="K720" s="43"/>
      <c r="N720" s="31"/>
      <c r="O720" s="43"/>
    </row>
    <row r="721" spans="3:15" x14ac:dyDescent="0.25">
      <c r="C721" s="31"/>
      <c r="I721" s="43"/>
      <c r="J721" s="43"/>
      <c r="K721" s="43"/>
      <c r="N721" s="31"/>
      <c r="O721" s="43"/>
    </row>
    <row r="722" spans="3:15" x14ac:dyDescent="0.25">
      <c r="C722" s="31"/>
      <c r="I722" s="43"/>
      <c r="J722" s="43"/>
      <c r="K722" s="43"/>
      <c r="N722" s="31"/>
      <c r="O722" s="43"/>
    </row>
    <row r="723" spans="3:15" x14ac:dyDescent="0.25">
      <c r="C723" s="31"/>
      <c r="I723" s="43"/>
      <c r="J723" s="43"/>
      <c r="K723" s="43"/>
      <c r="N723" s="31"/>
      <c r="O723" s="43"/>
    </row>
    <row r="724" spans="3:15" x14ac:dyDescent="0.25">
      <c r="C724" s="31"/>
      <c r="I724" s="43"/>
      <c r="J724" s="43"/>
      <c r="K724" s="43"/>
      <c r="N724" s="31"/>
      <c r="O724" s="43"/>
    </row>
    <row r="725" spans="3:15" x14ac:dyDescent="0.25">
      <c r="C725" s="31"/>
      <c r="I725" s="43"/>
      <c r="J725" s="43"/>
      <c r="K725" s="43"/>
      <c r="N725" s="31"/>
      <c r="O725" s="43"/>
    </row>
    <row r="726" spans="3:15" x14ac:dyDescent="0.25">
      <c r="C726" s="31"/>
      <c r="I726" s="43"/>
      <c r="J726" s="43"/>
      <c r="K726" s="43"/>
      <c r="N726" s="31"/>
      <c r="O726" s="43"/>
    </row>
    <row r="727" spans="3:15" x14ac:dyDescent="0.25">
      <c r="C727" s="31"/>
      <c r="I727" s="43"/>
      <c r="J727" s="43"/>
      <c r="K727" s="43"/>
      <c r="N727" s="31"/>
      <c r="O727" s="43"/>
    </row>
    <row r="728" spans="3:15" x14ac:dyDescent="0.25">
      <c r="C728" s="31"/>
      <c r="I728" s="43"/>
      <c r="J728" s="43"/>
      <c r="K728" s="43"/>
      <c r="N728" s="31"/>
      <c r="O728" s="43"/>
    </row>
    <row r="729" spans="3:15" x14ac:dyDescent="0.25">
      <c r="C729" s="31"/>
      <c r="I729" s="43"/>
      <c r="J729" s="43"/>
      <c r="K729" s="43"/>
      <c r="N729" s="31"/>
      <c r="O729" s="43"/>
    </row>
    <row r="730" spans="3:15" x14ac:dyDescent="0.25">
      <c r="C730" s="31"/>
      <c r="I730" s="43"/>
      <c r="J730" s="43"/>
      <c r="K730" s="43"/>
      <c r="N730" s="31"/>
      <c r="O730" s="43"/>
    </row>
    <row r="731" spans="3:15" x14ac:dyDescent="0.25">
      <c r="C731" s="31"/>
      <c r="I731" s="43"/>
      <c r="J731" s="43"/>
      <c r="K731" s="43"/>
      <c r="N731" s="31"/>
      <c r="O731" s="43"/>
    </row>
    <row r="732" spans="3:15" x14ac:dyDescent="0.25">
      <c r="C732" s="31"/>
      <c r="I732" s="43"/>
      <c r="J732" s="43"/>
      <c r="K732" s="43"/>
      <c r="N732" s="31"/>
      <c r="O732" s="43"/>
    </row>
    <row r="733" spans="3:15" x14ac:dyDescent="0.25">
      <c r="C733" s="31"/>
      <c r="I733" s="43"/>
      <c r="J733" s="43"/>
      <c r="K733" s="43"/>
      <c r="N733" s="31"/>
      <c r="O733" s="43"/>
    </row>
    <row r="734" spans="3:15" x14ac:dyDescent="0.25">
      <c r="C734" s="31"/>
      <c r="I734" s="43"/>
      <c r="J734" s="43"/>
      <c r="K734" s="43"/>
      <c r="N734" s="31"/>
      <c r="O734" s="43"/>
    </row>
    <row r="735" spans="3:15" x14ac:dyDescent="0.25">
      <c r="C735" s="31"/>
      <c r="I735" s="43"/>
      <c r="J735" s="43"/>
      <c r="K735" s="43"/>
      <c r="N735" s="31"/>
      <c r="O735" s="43"/>
    </row>
    <row r="736" spans="3:15" x14ac:dyDescent="0.25">
      <c r="C736" s="31"/>
      <c r="I736" s="43"/>
      <c r="J736" s="43"/>
      <c r="K736" s="43"/>
      <c r="N736" s="31"/>
      <c r="O736" s="43"/>
    </row>
    <row r="737" spans="3:15" x14ac:dyDescent="0.25">
      <c r="C737" s="31"/>
      <c r="I737" s="43"/>
      <c r="J737" s="43"/>
      <c r="K737" s="43"/>
      <c r="N737" s="31"/>
      <c r="O737" s="43"/>
    </row>
    <row r="738" spans="3:15" x14ac:dyDescent="0.25">
      <c r="C738" s="31"/>
      <c r="I738" s="43"/>
      <c r="J738" s="43"/>
      <c r="K738" s="43"/>
      <c r="N738" s="31"/>
      <c r="O738" s="43"/>
    </row>
    <row r="739" spans="3:15" x14ac:dyDescent="0.25">
      <c r="C739" s="31"/>
      <c r="I739" s="43"/>
      <c r="J739" s="43"/>
      <c r="K739" s="43"/>
      <c r="N739" s="31"/>
      <c r="O739" s="43"/>
    </row>
    <row r="740" spans="3:15" x14ac:dyDescent="0.25">
      <c r="C740" s="31"/>
      <c r="I740" s="43"/>
      <c r="J740" s="43"/>
      <c r="K740" s="43"/>
      <c r="N740" s="31"/>
      <c r="O740" s="43"/>
    </row>
    <row r="741" spans="3:15" x14ac:dyDescent="0.25">
      <c r="C741" s="31"/>
      <c r="I741" s="43"/>
      <c r="J741" s="43"/>
      <c r="K741" s="43"/>
      <c r="N741" s="31"/>
      <c r="O741" s="43"/>
    </row>
    <row r="742" spans="3:15" x14ac:dyDescent="0.25">
      <c r="C742" s="31"/>
      <c r="I742" s="43"/>
      <c r="J742" s="43"/>
      <c r="K742" s="43"/>
      <c r="N742" s="31"/>
      <c r="O742" s="43"/>
    </row>
    <row r="743" spans="3:15" x14ac:dyDescent="0.25">
      <c r="C743" s="31"/>
      <c r="I743" s="43"/>
      <c r="J743" s="43"/>
      <c r="K743" s="43"/>
      <c r="N743" s="31"/>
      <c r="O743" s="43"/>
    </row>
    <row r="744" spans="3:15" x14ac:dyDescent="0.25">
      <c r="C744" s="31"/>
      <c r="I744" s="43"/>
      <c r="J744" s="43"/>
      <c r="K744" s="43"/>
      <c r="N744" s="31"/>
      <c r="O744" s="43"/>
    </row>
    <row r="745" spans="3:15" x14ac:dyDescent="0.25">
      <c r="C745" s="31"/>
      <c r="I745" s="43"/>
      <c r="J745" s="43"/>
      <c r="K745" s="43"/>
      <c r="N745" s="31"/>
      <c r="O745" s="43"/>
    </row>
    <row r="746" spans="3:15" x14ac:dyDescent="0.25">
      <c r="C746" s="31"/>
      <c r="I746" s="43"/>
      <c r="J746" s="43"/>
      <c r="K746" s="43"/>
      <c r="N746" s="31"/>
      <c r="O746" s="43"/>
    </row>
    <row r="747" spans="3:15" x14ac:dyDescent="0.25">
      <c r="C747" s="31"/>
      <c r="I747" s="43"/>
      <c r="J747" s="43"/>
      <c r="K747" s="43"/>
      <c r="N747" s="31"/>
      <c r="O747" s="43"/>
    </row>
    <row r="748" spans="3:15" x14ac:dyDescent="0.25">
      <c r="C748" s="31"/>
      <c r="I748" s="43"/>
      <c r="J748" s="43"/>
      <c r="K748" s="43"/>
      <c r="N748" s="31"/>
      <c r="O748" s="43"/>
    </row>
    <row r="749" spans="3:15" x14ac:dyDescent="0.25">
      <c r="C749" s="31"/>
      <c r="I749" s="43"/>
      <c r="J749" s="43"/>
      <c r="K749" s="43"/>
      <c r="N749" s="31"/>
      <c r="O749" s="43"/>
    </row>
    <row r="750" spans="3:15" x14ac:dyDescent="0.25">
      <c r="C750" s="31"/>
      <c r="I750" s="43"/>
      <c r="J750" s="43"/>
      <c r="K750" s="43"/>
      <c r="N750" s="31"/>
      <c r="O750" s="43"/>
    </row>
    <row r="751" spans="3:15" x14ac:dyDescent="0.25">
      <c r="C751" s="31"/>
      <c r="I751" s="43"/>
      <c r="J751" s="43"/>
      <c r="K751" s="43"/>
      <c r="N751" s="31"/>
      <c r="O751" s="43"/>
    </row>
    <row r="752" spans="3:15" x14ac:dyDescent="0.25">
      <c r="C752" s="31"/>
      <c r="I752" s="43"/>
      <c r="J752" s="43"/>
      <c r="K752" s="43"/>
      <c r="N752" s="31"/>
      <c r="O752" s="43"/>
    </row>
    <row r="753" spans="3:15" x14ac:dyDescent="0.25">
      <c r="C753" s="31"/>
      <c r="I753" s="43"/>
      <c r="J753" s="43"/>
      <c r="K753" s="43"/>
      <c r="N753" s="31"/>
      <c r="O753" s="43"/>
    </row>
    <row r="754" spans="3:15" x14ac:dyDescent="0.25">
      <c r="C754" s="31"/>
      <c r="I754" s="43"/>
      <c r="J754" s="43"/>
      <c r="K754" s="43"/>
      <c r="N754" s="31"/>
      <c r="O754" s="43"/>
    </row>
    <row r="755" spans="3:15" x14ac:dyDescent="0.25">
      <c r="C755" s="31"/>
      <c r="I755" s="43"/>
      <c r="J755" s="43"/>
      <c r="K755" s="43"/>
      <c r="N755" s="31"/>
      <c r="O755" s="43"/>
    </row>
    <row r="756" spans="3:15" x14ac:dyDescent="0.25">
      <c r="C756" s="31"/>
      <c r="I756" s="43"/>
      <c r="J756" s="43"/>
      <c r="K756" s="43"/>
      <c r="N756" s="31"/>
      <c r="O756" s="43"/>
    </row>
    <row r="757" spans="3:15" x14ac:dyDescent="0.25">
      <c r="C757" s="31"/>
      <c r="I757" s="43"/>
      <c r="J757" s="43"/>
      <c r="K757" s="43"/>
      <c r="N757" s="31"/>
      <c r="O757" s="43"/>
    </row>
    <row r="758" spans="3:15" x14ac:dyDescent="0.25">
      <c r="C758" s="31"/>
      <c r="I758" s="43"/>
      <c r="J758" s="43"/>
      <c r="K758" s="43"/>
      <c r="N758" s="31"/>
      <c r="O758" s="43"/>
    </row>
    <row r="759" spans="3:15" x14ac:dyDescent="0.25">
      <c r="C759" s="31"/>
      <c r="I759" s="43"/>
      <c r="J759" s="43"/>
      <c r="K759" s="43"/>
      <c r="N759" s="31"/>
      <c r="O759" s="43"/>
    </row>
    <row r="760" spans="3:15" x14ac:dyDescent="0.25">
      <c r="C760" s="31"/>
      <c r="I760" s="43"/>
      <c r="J760" s="43"/>
      <c r="K760" s="43"/>
      <c r="N760" s="31"/>
      <c r="O760" s="43"/>
    </row>
    <row r="761" spans="3:15" x14ac:dyDescent="0.25">
      <c r="C761" s="31"/>
      <c r="I761" s="43"/>
      <c r="J761" s="43"/>
      <c r="K761" s="43"/>
      <c r="N761" s="31"/>
      <c r="O761" s="43"/>
    </row>
    <row r="762" spans="3:15" x14ac:dyDescent="0.25">
      <c r="C762" s="31"/>
      <c r="I762" s="43"/>
      <c r="J762" s="43"/>
      <c r="K762" s="43"/>
      <c r="N762" s="31"/>
      <c r="O762" s="43"/>
    </row>
    <row r="763" spans="3:15" x14ac:dyDescent="0.25">
      <c r="C763" s="31"/>
      <c r="I763" s="43"/>
      <c r="J763" s="43"/>
      <c r="K763" s="43"/>
      <c r="N763" s="31"/>
      <c r="O763" s="43"/>
    </row>
    <row r="764" spans="3:15" x14ac:dyDescent="0.25">
      <c r="C764" s="31"/>
      <c r="I764" s="43"/>
      <c r="J764" s="43"/>
      <c r="K764" s="43"/>
      <c r="N764" s="31"/>
      <c r="O764" s="43"/>
    </row>
    <row r="765" spans="3:15" x14ac:dyDescent="0.25">
      <c r="C765" s="31"/>
      <c r="I765" s="43"/>
      <c r="J765" s="43"/>
      <c r="K765" s="43"/>
      <c r="N765" s="31"/>
      <c r="O765" s="43"/>
    </row>
    <row r="766" spans="3:15" x14ac:dyDescent="0.25">
      <c r="C766" s="31"/>
      <c r="I766" s="43"/>
      <c r="J766" s="43"/>
      <c r="K766" s="43"/>
      <c r="N766" s="31"/>
      <c r="O766" s="43"/>
    </row>
    <row r="767" spans="3:15" x14ac:dyDescent="0.25">
      <c r="C767" s="31"/>
      <c r="I767" s="43"/>
      <c r="J767" s="43"/>
      <c r="K767" s="43"/>
      <c r="N767" s="31"/>
      <c r="O767" s="43"/>
    </row>
    <row r="768" spans="3:15" x14ac:dyDescent="0.25">
      <c r="C768" s="31"/>
      <c r="I768" s="43"/>
      <c r="J768" s="43"/>
      <c r="K768" s="43"/>
      <c r="N768" s="31"/>
      <c r="O768" s="43"/>
    </row>
    <row r="769" spans="3:15" x14ac:dyDescent="0.25">
      <c r="C769" s="31"/>
      <c r="I769" s="43"/>
      <c r="J769" s="43"/>
      <c r="K769" s="43"/>
      <c r="N769" s="31"/>
      <c r="O769" s="43"/>
    </row>
    <row r="770" spans="3:15" x14ac:dyDescent="0.25">
      <c r="C770" s="31"/>
      <c r="I770" s="43"/>
      <c r="J770" s="43"/>
      <c r="K770" s="43"/>
      <c r="N770" s="31"/>
      <c r="O770" s="43"/>
    </row>
    <row r="771" spans="3:15" x14ac:dyDescent="0.25">
      <c r="C771" s="31"/>
      <c r="I771" s="43"/>
      <c r="J771" s="43"/>
      <c r="K771" s="43"/>
      <c r="N771" s="31"/>
      <c r="O771" s="43"/>
    </row>
    <row r="772" spans="3:15" x14ac:dyDescent="0.25">
      <c r="C772" s="31"/>
      <c r="I772" s="43"/>
      <c r="J772" s="43"/>
      <c r="K772" s="43"/>
      <c r="N772" s="31"/>
      <c r="O772" s="43"/>
    </row>
    <row r="773" spans="3:15" x14ac:dyDescent="0.25">
      <c r="C773" s="31"/>
      <c r="I773" s="43"/>
      <c r="J773" s="43"/>
      <c r="K773" s="43"/>
      <c r="N773" s="31"/>
      <c r="O773" s="43"/>
    </row>
    <row r="774" spans="3:15" x14ac:dyDescent="0.25">
      <c r="C774" s="31"/>
      <c r="I774" s="43"/>
      <c r="J774" s="43"/>
      <c r="K774" s="43"/>
      <c r="N774" s="31"/>
      <c r="O774" s="43"/>
    </row>
    <row r="775" spans="3:15" x14ac:dyDescent="0.25">
      <c r="C775" s="31"/>
      <c r="I775" s="43"/>
      <c r="J775" s="43"/>
      <c r="K775" s="43"/>
      <c r="N775" s="31"/>
      <c r="O775" s="43"/>
    </row>
    <row r="776" spans="3:15" x14ac:dyDescent="0.25">
      <c r="C776" s="31"/>
      <c r="I776" s="43"/>
      <c r="J776" s="43"/>
      <c r="K776" s="43"/>
      <c r="N776" s="31"/>
      <c r="O776" s="43"/>
    </row>
    <row r="777" spans="3:15" x14ac:dyDescent="0.25">
      <c r="C777" s="31"/>
      <c r="I777" s="43"/>
      <c r="J777" s="43"/>
      <c r="K777" s="43"/>
      <c r="N777" s="31"/>
      <c r="O777" s="43"/>
    </row>
    <row r="778" spans="3:15" x14ac:dyDescent="0.25">
      <c r="C778" s="31"/>
      <c r="I778" s="43"/>
      <c r="J778" s="43"/>
      <c r="K778" s="43"/>
      <c r="N778" s="31"/>
      <c r="O778" s="43"/>
    </row>
    <row r="779" spans="3:15" x14ac:dyDescent="0.25">
      <c r="C779" s="31"/>
      <c r="I779" s="43"/>
      <c r="J779" s="43"/>
      <c r="K779" s="43"/>
      <c r="N779" s="31"/>
      <c r="O779" s="43"/>
    </row>
    <row r="780" spans="3:15" x14ac:dyDescent="0.25">
      <c r="C780" s="31"/>
      <c r="I780" s="43"/>
      <c r="J780" s="43"/>
      <c r="K780" s="43"/>
      <c r="N780" s="31"/>
      <c r="O780" s="43"/>
    </row>
    <row r="781" spans="3:15" x14ac:dyDescent="0.25">
      <c r="C781" s="31"/>
      <c r="I781" s="43"/>
      <c r="J781" s="43"/>
      <c r="K781" s="43"/>
      <c r="N781" s="31"/>
      <c r="O781" s="43"/>
    </row>
    <row r="782" spans="3:15" x14ac:dyDescent="0.25">
      <c r="C782" s="31"/>
      <c r="I782" s="43"/>
      <c r="J782" s="43"/>
      <c r="K782" s="43"/>
      <c r="N782" s="31"/>
      <c r="O782" s="43"/>
    </row>
    <row r="783" spans="3:15" x14ac:dyDescent="0.25">
      <c r="C783" s="31"/>
      <c r="I783" s="43"/>
      <c r="J783" s="43"/>
      <c r="K783" s="43"/>
      <c r="N783" s="31"/>
      <c r="O783" s="43"/>
    </row>
    <row r="784" spans="3:15" x14ac:dyDescent="0.25">
      <c r="C784" s="31"/>
      <c r="I784" s="43"/>
      <c r="J784" s="43"/>
      <c r="K784" s="43"/>
      <c r="N784" s="31"/>
      <c r="O784" s="43"/>
    </row>
    <row r="785" spans="3:15" x14ac:dyDescent="0.25">
      <c r="C785" s="31"/>
      <c r="I785" s="43"/>
      <c r="J785" s="43"/>
      <c r="K785" s="43"/>
      <c r="N785" s="31"/>
      <c r="O785" s="43"/>
    </row>
    <row r="786" spans="3:15" x14ac:dyDescent="0.25">
      <c r="C786" s="31"/>
      <c r="I786" s="43"/>
      <c r="J786" s="43"/>
      <c r="K786" s="43"/>
      <c r="N786" s="31"/>
      <c r="O786" s="43"/>
    </row>
    <row r="787" spans="3:15" x14ac:dyDescent="0.25">
      <c r="C787" s="31"/>
      <c r="I787" s="43"/>
      <c r="J787" s="43"/>
      <c r="K787" s="43"/>
      <c r="N787" s="31"/>
      <c r="O787" s="43"/>
    </row>
    <row r="788" spans="3:15" x14ac:dyDescent="0.25">
      <c r="C788" s="31"/>
      <c r="I788" s="43"/>
      <c r="J788" s="43"/>
      <c r="K788" s="43"/>
      <c r="N788" s="31"/>
      <c r="O788" s="43"/>
    </row>
    <row r="789" spans="3:15" x14ac:dyDescent="0.25">
      <c r="C789" s="31"/>
      <c r="I789" s="43"/>
      <c r="J789" s="43"/>
      <c r="K789" s="43"/>
      <c r="N789" s="31"/>
      <c r="O789" s="43"/>
    </row>
    <row r="790" spans="3:15" x14ac:dyDescent="0.25">
      <c r="C790" s="31"/>
      <c r="I790" s="43"/>
      <c r="J790" s="43"/>
      <c r="K790" s="43"/>
      <c r="N790" s="31"/>
      <c r="O790" s="43"/>
    </row>
    <row r="791" spans="3:15" x14ac:dyDescent="0.25">
      <c r="C791" s="31"/>
      <c r="I791" s="43"/>
      <c r="J791" s="43"/>
      <c r="K791" s="43"/>
      <c r="N791" s="31"/>
      <c r="O791" s="43"/>
    </row>
    <row r="792" spans="3:15" x14ac:dyDescent="0.25">
      <c r="C792" s="31"/>
      <c r="I792" s="43"/>
      <c r="J792" s="43"/>
      <c r="K792" s="43"/>
      <c r="N792" s="31"/>
      <c r="O792" s="43"/>
    </row>
    <row r="793" spans="3:15" x14ac:dyDescent="0.25">
      <c r="C793" s="31"/>
      <c r="I793" s="43"/>
      <c r="J793" s="43"/>
      <c r="K793" s="43"/>
      <c r="N793" s="31"/>
      <c r="O793" s="43"/>
    </row>
    <row r="794" spans="3:15" x14ac:dyDescent="0.25">
      <c r="C794" s="31"/>
      <c r="I794" s="43"/>
      <c r="J794" s="43"/>
      <c r="K794" s="43"/>
      <c r="N794" s="31"/>
      <c r="O794" s="43"/>
    </row>
    <row r="795" spans="3:15" x14ac:dyDescent="0.25">
      <c r="C795" s="31"/>
      <c r="I795" s="43"/>
      <c r="J795" s="43"/>
      <c r="K795" s="43"/>
      <c r="N795" s="31"/>
      <c r="O795" s="43"/>
    </row>
    <row r="796" spans="3:15" x14ac:dyDescent="0.25">
      <c r="C796" s="31"/>
      <c r="I796" s="43"/>
      <c r="J796" s="43"/>
      <c r="K796" s="43"/>
      <c r="N796" s="31"/>
      <c r="O796" s="43"/>
    </row>
    <row r="797" spans="3:15" x14ac:dyDescent="0.25">
      <c r="C797" s="31"/>
      <c r="I797" s="43"/>
      <c r="J797" s="43"/>
      <c r="K797" s="43"/>
      <c r="N797" s="31"/>
      <c r="O797" s="43"/>
    </row>
    <row r="798" spans="3:15" x14ac:dyDescent="0.25">
      <c r="C798" s="31"/>
      <c r="I798" s="43"/>
      <c r="J798" s="43"/>
      <c r="K798" s="43"/>
      <c r="N798" s="31"/>
      <c r="O798" s="43"/>
    </row>
    <row r="799" spans="3:15" x14ac:dyDescent="0.25">
      <c r="C799" s="31"/>
      <c r="I799" s="43"/>
      <c r="J799" s="43"/>
      <c r="K799" s="43"/>
      <c r="N799" s="31"/>
      <c r="O799" s="43"/>
    </row>
    <row r="800" spans="3:15" x14ac:dyDescent="0.25">
      <c r="C800" s="31"/>
      <c r="I800" s="43"/>
      <c r="J800" s="43"/>
      <c r="K800" s="43"/>
      <c r="N800" s="31"/>
      <c r="O800" s="43"/>
    </row>
    <row r="801" spans="3:15" x14ac:dyDescent="0.25">
      <c r="C801" s="31"/>
      <c r="I801" s="43"/>
      <c r="J801" s="43"/>
      <c r="K801" s="43"/>
      <c r="N801" s="31"/>
      <c r="O801" s="43"/>
    </row>
    <row r="802" spans="3:15" x14ac:dyDescent="0.25">
      <c r="C802" s="31"/>
      <c r="I802" s="43"/>
      <c r="J802" s="43"/>
      <c r="K802" s="43"/>
      <c r="N802" s="31"/>
      <c r="O802" s="43"/>
    </row>
    <row r="803" spans="3:15" x14ac:dyDescent="0.25">
      <c r="C803" s="31"/>
      <c r="I803" s="43"/>
      <c r="J803" s="43"/>
      <c r="K803" s="43"/>
      <c r="N803" s="31"/>
      <c r="O803" s="43"/>
    </row>
    <row r="804" spans="3:15" x14ac:dyDescent="0.25">
      <c r="C804" s="31"/>
      <c r="I804" s="43"/>
      <c r="J804" s="43"/>
      <c r="K804" s="43"/>
      <c r="N804" s="31"/>
      <c r="O804" s="43"/>
    </row>
    <row r="805" spans="3:15" x14ac:dyDescent="0.25">
      <c r="C805" s="31"/>
      <c r="I805" s="43"/>
      <c r="J805" s="43"/>
      <c r="K805" s="43"/>
      <c r="N805" s="31"/>
      <c r="O805" s="43"/>
    </row>
    <row r="806" spans="3:15" x14ac:dyDescent="0.25">
      <c r="C806" s="31"/>
      <c r="I806" s="43"/>
      <c r="J806" s="43"/>
      <c r="K806" s="43"/>
      <c r="N806" s="31"/>
      <c r="O806" s="43"/>
    </row>
    <row r="807" spans="3:15" x14ac:dyDescent="0.25">
      <c r="C807" s="31"/>
      <c r="I807" s="43"/>
      <c r="J807" s="43"/>
      <c r="K807" s="43"/>
      <c r="N807" s="31"/>
      <c r="O807" s="43"/>
    </row>
    <row r="808" spans="3:15" x14ac:dyDescent="0.25">
      <c r="C808" s="31"/>
      <c r="I808" s="43"/>
      <c r="J808" s="43"/>
      <c r="K808" s="43"/>
      <c r="N808" s="31"/>
      <c r="O808" s="43"/>
    </row>
    <row r="809" spans="3:15" x14ac:dyDescent="0.25">
      <c r="C809" s="31"/>
      <c r="I809" s="43"/>
      <c r="J809" s="43"/>
      <c r="K809" s="43"/>
      <c r="N809" s="31"/>
      <c r="O809" s="43"/>
    </row>
    <row r="810" spans="3:15" x14ac:dyDescent="0.25">
      <c r="C810" s="31"/>
      <c r="I810" s="43"/>
      <c r="J810" s="43"/>
      <c r="K810" s="43"/>
      <c r="N810" s="31"/>
      <c r="O810" s="43"/>
    </row>
    <row r="811" spans="3:15" x14ac:dyDescent="0.25">
      <c r="C811" s="31"/>
      <c r="I811" s="43"/>
      <c r="J811" s="43"/>
      <c r="K811" s="43"/>
      <c r="N811" s="31"/>
      <c r="O811" s="43"/>
    </row>
    <row r="812" spans="3:15" x14ac:dyDescent="0.25">
      <c r="C812" s="31"/>
      <c r="I812" s="43"/>
      <c r="J812" s="43"/>
      <c r="K812" s="43"/>
      <c r="N812" s="31"/>
      <c r="O812" s="43"/>
    </row>
    <row r="813" spans="3:15" x14ac:dyDescent="0.25">
      <c r="C813" s="31"/>
      <c r="I813" s="43"/>
      <c r="J813" s="43"/>
      <c r="K813" s="43"/>
      <c r="N813" s="31"/>
      <c r="O813" s="43"/>
    </row>
    <row r="814" spans="3:15" x14ac:dyDescent="0.25">
      <c r="C814" s="31"/>
      <c r="I814" s="43"/>
      <c r="J814" s="43"/>
      <c r="K814" s="43"/>
      <c r="N814" s="31"/>
      <c r="O814" s="43"/>
    </row>
    <row r="815" spans="3:15" x14ac:dyDescent="0.25">
      <c r="C815" s="31"/>
      <c r="I815" s="43"/>
      <c r="J815" s="43"/>
      <c r="K815" s="43"/>
      <c r="N815" s="31"/>
      <c r="O815" s="43"/>
    </row>
    <row r="816" spans="3:15" x14ac:dyDescent="0.25">
      <c r="C816" s="31"/>
      <c r="I816" s="43"/>
      <c r="J816" s="43"/>
      <c r="K816" s="43"/>
      <c r="N816" s="31"/>
      <c r="O816" s="43"/>
    </row>
    <row r="817" spans="3:15" x14ac:dyDescent="0.25">
      <c r="C817" s="31"/>
      <c r="I817" s="43"/>
      <c r="J817" s="43"/>
      <c r="K817" s="43"/>
      <c r="N817" s="31"/>
      <c r="O817" s="43"/>
    </row>
    <row r="818" spans="3:15" x14ac:dyDescent="0.25">
      <c r="C818" s="31"/>
      <c r="I818" s="43"/>
      <c r="J818" s="43"/>
      <c r="K818" s="43"/>
      <c r="N818" s="31"/>
      <c r="O818" s="43"/>
    </row>
    <row r="819" spans="3:15" x14ac:dyDescent="0.25">
      <c r="C819" s="31"/>
      <c r="I819" s="43"/>
      <c r="J819" s="43"/>
      <c r="K819" s="43"/>
      <c r="N819" s="31"/>
      <c r="O819" s="43"/>
    </row>
    <row r="820" spans="3:15" x14ac:dyDescent="0.25">
      <c r="C820" s="31"/>
      <c r="I820" s="43"/>
      <c r="J820" s="43"/>
      <c r="K820" s="43"/>
      <c r="N820" s="31"/>
      <c r="O820" s="43"/>
    </row>
    <row r="821" spans="3:15" x14ac:dyDescent="0.25">
      <c r="C821" s="31"/>
      <c r="I821" s="43"/>
      <c r="J821" s="43"/>
      <c r="K821" s="43"/>
      <c r="N821" s="31"/>
      <c r="O821" s="43"/>
    </row>
    <row r="822" spans="3:15" x14ac:dyDescent="0.25">
      <c r="C822" s="31"/>
      <c r="I822" s="43"/>
      <c r="J822" s="43"/>
      <c r="K822" s="43"/>
      <c r="N822" s="31"/>
      <c r="O822" s="43"/>
    </row>
    <row r="823" spans="3:15" x14ac:dyDescent="0.25">
      <c r="C823" s="31"/>
      <c r="I823" s="43"/>
      <c r="J823" s="43"/>
      <c r="K823" s="43"/>
      <c r="N823" s="31"/>
      <c r="O823" s="43"/>
    </row>
    <row r="824" spans="3:15" x14ac:dyDescent="0.25">
      <c r="C824" s="31"/>
      <c r="I824" s="43"/>
      <c r="J824" s="43"/>
      <c r="K824" s="43"/>
      <c r="N824" s="31"/>
      <c r="O824" s="43"/>
    </row>
    <row r="825" spans="3:15" x14ac:dyDescent="0.25">
      <c r="C825" s="31"/>
      <c r="I825" s="43"/>
      <c r="J825" s="43"/>
      <c r="K825" s="43"/>
      <c r="N825" s="31"/>
      <c r="O825" s="43"/>
    </row>
    <row r="826" spans="3:15" x14ac:dyDescent="0.25">
      <c r="C826" s="31"/>
      <c r="I826" s="43"/>
      <c r="J826" s="43"/>
      <c r="K826" s="43"/>
      <c r="N826" s="31"/>
      <c r="O826" s="43"/>
    </row>
    <row r="827" spans="3:15" x14ac:dyDescent="0.25">
      <c r="C827" s="31"/>
      <c r="I827" s="43"/>
      <c r="J827" s="43"/>
      <c r="K827" s="43"/>
      <c r="N827" s="31"/>
      <c r="O827" s="43"/>
    </row>
    <row r="828" spans="3:15" x14ac:dyDescent="0.25">
      <c r="C828" s="31"/>
      <c r="I828" s="43"/>
      <c r="J828" s="43"/>
      <c r="K828" s="43"/>
      <c r="N828" s="31"/>
      <c r="O828" s="43"/>
    </row>
    <row r="829" spans="3:15" x14ac:dyDescent="0.25">
      <c r="C829" s="31"/>
      <c r="I829" s="43"/>
      <c r="J829" s="43"/>
      <c r="K829" s="43"/>
      <c r="N829" s="31"/>
      <c r="O829" s="43"/>
    </row>
    <row r="830" spans="3:15" x14ac:dyDescent="0.25">
      <c r="C830" s="31"/>
      <c r="I830" s="43"/>
      <c r="J830" s="43"/>
      <c r="K830" s="43"/>
      <c r="N830" s="31"/>
      <c r="O830" s="43"/>
    </row>
    <row r="831" spans="3:15" x14ac:dyDescent="0.25">
      <c r="C831" s="31"/>
      <c r="I831" s="43"/>
      <c r="J831" s="43"/>
      <c r="K831" s="43"/>
      <c r="N831" s="31"/>
      <c r="O831" s="43"/>
    </row>
    <row r="832" spans="3:15" x14ac:dyDescent="0.25">
      <c r="C832" s="31"/>
      <c r="I832" s="43"/>
      <c r="J832" s="43"/>
      <c r="K832" s="43"/>
      <c r="N832" s="31"/>
      <c r="O832" s="43"/>
    </row>
    <row r="833" spans="3:15" x14ac:dyDescent="0.25">
      <c r="C833" s="31"/>
      <c r="I833" s="43"/>
      <c r="J833" s="43"/>
      <c r="K833" s="43"/>
      <c r="N833" s="31"/>
      <c r="O833" s="43"/>
    </row>
    <row r="834" spans="3:15" x14ac:dyDescent="0.25">
      <c r="C834" s="31"/>
      <c r="I834" s="43"/>
      <c r="J834" s="43"/>
      <c r="K834" s="43"/>
      <c r="N834" s="31"/>
      <c r="O834" s="43"/>
    </row>
    <row r="835" spans="3:15" x14ac:dyDescent="0.25">
      <c r="C835" s="31"/>
      <c r="I835" s="43"/>
      <c r="J835" s="43"/>
      <c r="K835" s="43"/>
      <c r="N835" s="31"/>
      <c r="O835" s="43"/>
    </row>
    <row r="836" spans="3:15" x14ac:dyDescent="0.25">
      <c r="C836" s="31"/>
      <c r="I836" s="43"/>
      <c r="J836" s="43"/>
      <c r="K836" s="43"/>
      <c r="N836" s="31"/>
      <c r="O836" s="43"/>
    </row>
    <row r="837" spans="3:15" x14ac:dyDescent="0.25">
      <c r="C837" s="31"/>
      <c r="I837" s="43"/>
      <c r="J837" s="43"/>
      <c r="K837" s="43"/>
      <c r="N837" s="31"/>
      <c r="O837" s="43"/>
    </row>
    <row r="838" spans="3:15" x14ac:dyDescent="0.25">
      <c r="C838" s="31"/>
      <c r="I838" s="43"/>
      <c r="J838" s="43"/>
      <c r="K838" s="43"/>
      <c r="N838" s="31"/>
      <c r="O838" s="43"/>
    </row>
    <row r="839" spans="3:15" x14ac:dyDescent="0.25">
      <c r="C839" s="31"/>
      <c r="I839" s="43"/>
      <c r="J839" s="43"/>
      <c r="K839" s="43"/>
      <c r="N839" s="31"/>
      <c r="O839" s="43"/>
    </row>
    <row r="840" spans="3:15" x14ac:dyDescent="0.25">
      <c r="C840" s="31"/>
      <c r="I840" s="43"/>
      <c r="J840" s="43"/>
      <c r="K840" s="43"/>
      <c r="N840" s="31"/>
      <c r="O840" s="43"/>
    </row>
    <row r="841" spans="3:15" x14ac:dyDescent="0.25">
      <c r="C841" s="31"/>
      <c r="I841" s="43"/>
      <c r="J841" s="43"/>
      <c r="K841" s="43"/>
      <c r="N841" s="31"/>
      <c r="O841" s="43"/>
    </row>
    <row r="842" spans="3:15" x14ac:dyDescent="0.25">
      <c r="C842" s="31"/>
      <c r="I842" s="43"/>
      <c r="J842" s="43"/>
      <c r="K842" s="43"/>
      <c r="N842" s="31"/>
      <c r="O842" s="43"/>
    </row>
    <row r="843" spans="3:15" x14ac:dyDescent="0.25">
      <c r="C843" s="31"/>
      <c r="I843" s="43"/>
      <c r="J843" s="43"/>
      <c r="K843" s="43"/>
      <c r="N843" s="31"/>
      <c r="O843" s="43"/>
    </row>
    <row r="844" spans="3:15" x14ac:dyDescent="0.25">
      <c r="C844" s="31"/>
      <c r="I844" s="43"/>
      <c r="J844" s="43"/>
      <c r="K844" s="43"/>
      <c r="N844" s="31"/>
      <c r="O844" s="43"/>
    </row>
    <row r="845" spans="3:15" x14ac:dyDescent="0.25">
      <c r="C845" s="31"/>
      <c r="I845" s="43"/>
      <c r="J845" s="43"/>
      <c r="K845" s="43"/>
      <c r="N845" s="31"/>
      <c r="O845" s="43"/>
    </row>
    <row r="846" spans="3:15" x14ac:dyDescent="0.25">
      <c r="C846" s="31"/>
      <c r="I846" s="43"/>
      <c r="J846" s="43"/>
      <c r="K846" s="43"/>
      <c r="N846" s="31"/>
      <c r="O846" s="43"/>
    </row>
    <row r="847" spans="3:15" x14ac:dyDescent="0.25">
      <c r="C847" s="31"/>
      <c r="I847" s="43"/>
      <c r="J847" s="43"/>
      <c r="K847" s="43"/>
      <c r="N847" s="31"/>
      <c r="O847" s="43"/>
    </row>
    <row r="848" spans="3:15" x14ac:dyDescent="0.25">
      <c r="C848" s="31"/>
      <c r="I848" s="43"/>
      <c r="J848" s="43"/>
      <c r="K848" s="43"/>
      <c r="N848" s="31"/>
      <c r="O848" s="43"/>
    </row>
    <row r="849" spans="3:15" x14ac:dyDescent="0.25">
      <c r="C849" s="31"/>
      <c r="I849" s="43"/>
      <c r="J849" s="43"/>
      <c r="K849" s="43"/>
      <c r="N849" s="31"/>
      <c r="O849" s="43"/>
    </row>
    <row r="850" spans="3:15" x14ac:dyDescent="0.25">
      <c r="C850" s="31"/>
      <c r="I850" s="43"/>
      <c r="J850" s="43"/>
      <c r="K850" s="43"/>
      <c r="N850" s="31"/>
      <c r="O850" s="43"/>
    </row>
    <row r="851" spans="3:15" x14ac:dyDescent="0.25">
      <c r="C851" s="31"/>
      <c r="I851" s="43"/>
      <c r="J851" s="43"/>
      <c r="K851" s="43"/>
      <c r="N851" s="31"/>
      <c r="O851" s="43"/>
    </row>
    <row r="852" spans="3:15" x14ac:dyDescent="0.25">
      <c r="C852" s="31"/>
      <c r="I852" s="43"/>
      <c r="J852" s="43"/>
      <c r="K852" s="43"/>
      <c r="N852" s="31"/>
      <c r="O852" s="43"/>
    </row>
    <row r="853" spans="3:15" x14ac:dyDescent="0.25">
      <c r="C853" s="31"/>
      <c r="I853" s="43"/>
      <c r="J853" s="43"/>
      <c r="K853" s="43"/>
      <c r="N853" s="31"/>
      <c r="O853" s="43"/>
    </row>
    <row r="854" spans="3:15" x14ac:dyDescent="0.25">
      <c r="C854" s="31"/>
      <c r="I854" s="43"/>
      <c r="J854" s="43"/>
      <c r="K854" s="43"/>
      <c r="N854" s="31"/>
      <c r="O854" s="43"/>
    </row>
    <row r="855" spans="3:15" x14ac:dyDescent="0.25">
      <c r="C855" s="31"/>
      <c r="I855" s="43"/>
      <c r="J855" s="43"/>
      <c r="K855" s="43"/>
      <c r="N855" s="31"/>
      <c r="O855" s="43"/>
    </row>
    <row r="856" spans="3:15" x14ac:dyDescent="0.25">
      <c r="C856" s="31"/>
      <c r="I856" s="43"/>
      <c r="J856" s="43"/>
      <c r="K856" s="43"/>
      <c r="N856" s="31"/>
      <c r="O856" s="43"/>
    </row>
    <row r="857" spans="3:15" x14ac:dyDescent="0.25">
      <c r="C857" s="31"/>
      <c r="I857" s="43"/>
      <c r="J857" s="43"/>
      <c r="K857" s="43"/>
      <c r="N857" s="31"/>
      <c r="O857" s="43"/>
    </row>
    <row r="858" spans="3:15" x14ac:dyDescent="0.25">
      <c r="C858" s="31"/>
      <c r="I858" s="43"/>
      <c r="J858" s="43"/>
      <c r="K858" s="43"/>
      <c r="N858" s="31"/>
      <c r="O858" s="43"/>
    </row>
    <row r="859" spans="3:15" x14ac:dyDescent="0.25">
      <c r="C859" s="31"/>
      <c r="I859" s="43"/>
      <c r="J859" s="43"/>
      <c r="K859" s="43"/>
      <c r="N859" s="31"/>
      <c r="O859" s="43"/>
    </row>
    <row r="860" spans="3:15" x14ac:dyDescent="0.25">
      <c r="C860" s="31"/>
      <c r="I860" s="43"/>
      <c r="J860" s="43"/>
      <c r="K860" s="43"/>
      <c r="N860" s="31"/>
      <c r="O860" s="43"/>
    </row>
    <row r="861" spans="3:15" x14ac:dyDescent="0.25">
      <c r="C861" s="31"/>
      <c r="I861" s="43"/>
      <c r="J861" s="43"/>
      <c r="K861" s="43"/>
      <c r="N861" s="31"/>
      <c r="O861" s="43"/>
    </row>
    <row r="862" spans="3:15" x14ac:dyDescent="0.25">
      <c r="C862" s="31"/>
      <c r="I862" s="43"/>
      <c r="J862" s="43"/>
      <c r="K862" s="43"/>
      <c r="N862" s="31"/>
      <c r="O862" s="43"/>
    </row>
    <row r="863" spans="3:15" x14ac:dyDescent="0.25">
      <c r="C863" s="31"/>
      <c r="I863" s="43"/>
      <c r="J863" s="43"/>
      <c r="K863" s="43"/>
      <c r="N863" s="31"/>
      <c r="O863" s="43"/>
    </row>
    <row r="864" spans="3:15" x14ac:dyDescent="0.25">
      <c r="C864" s="31"/>
      <c r="I864" s="43"/>
      <c r="J864" s="43"/>
      <c r="K864" s="43"/>
      <c r="N864" s="31"/>
      <c r="O864" s="43"/>
    </row>
    <row r="865" spans="3:15" x14ac:dyDescent="0.25">
      <c r="C865" s="31"/>
      <c r="I865" s="43"/>
      <c r="J865" s="43"/>
      <c r="K865" s="43"/>
      <c r="N865" s="31"/>
      <c r="O865" s="43"/>
    </row>
    <row r="866" spans="3:15" x14ac:dyDescent="0.25">
      <c r="C866" s="31"/>
      <c r="I866" s="43"/>
      <c r="J866" s="43"/>
      <c r="K866" s="43"/>
      <c r="N866" s="31"/>
      <c r="O866" s="43"/>
    </row>
    <row r="867" spans="3:15" x14ac:dyDescent="0.25">
      <c r="C867" s="31"/>
      <c r="I867" s="43"/>
      <c r="J867" s="43"/>
      <c r="K867" s="43"/>
      <c r="N867" s="31"/>
      <c r="O867" s="43"/>
    </row>
    <row r="868" spans="3:15" x14ac:dyDescent="0.25">
      <c r="C868" s="31"/>
      <c r="I868" s="43"/>
      <c r="J868" s="43"/>
      <c r="K868" s="43"/>
      <c r="N868" s="31"/>
      <c r="O868" s="43"/>
    </row>
    <row r="869" spans="3:15" x14ac:dyDescent="0.25">
      <c r="C869" s="31"/>
      <c r="I869" s="43"/>
      <c r="J869" s="43"/>
      <c r="K869" s="43"/>
      <c r="N869" s="31"/>
      <c r="O869" s="43"/>
    </row>
    <row r="870" spans="3:15" x14ac:dyDescent="0.25">
      <c r="C870" s="31"/>
      <c r="I870" s="43"/>
      <c r="J870" s="43"/>
      <c r="K870" s="43"/>
      <c r="N870" s="31"/>
      <c r="O870" s="43"/>
    </row>
    <row r="871" spans="3:15" x14ac:dyDescent="0.25">
      <c r="C871" s="31"/>
      <c r="I871" s="43"/>
      <c r="J871" s="43"/>
      <c r="K871" s="43"/>
      <c r="N871" s="31"/>
      <c r="O871" s="43"/>
    </row>
    <row r="872" spans="3:15" x14ac:dyDescent="0.25">
      <c r="C872" s="31"/>
      <c r="I872" s="43"/>
      <c r="J872" s="43"/>
      <c r="K872" s="43"/>
      <c r="N872" s="31"/>
      <c r="O872" s="43"/>
    </row>
    <row r="873" spans="3:15" x14ac:dyDescent="0.25">
      <c r="C873" s="31"/>
      <c r="I873" s="43"/>
      <c r="J873" s="43"/>
      <c r="K873" s="43"/>
      <c r="N873" s="31"/>
      <c r="O873" s="43"/>
    </row>
    <row r="874" spans="3:15" x14ac:dyDescent="0.25">
      <c r="C874" s="31"/>
      <c r="I874" s="43"/>
      <c r="J874" s="43"/>
      <c r="K874" s="43"/>
      <c r="N874" s="31"/>
      <c r="O874" s="43"/>
    </row>
    <row r="875" spans="3:15" x14ac:dyDescent="0.25">
      <c r="C875" s="31"/>
      <c r="I875" s="43"/>
      <c r="J875" s="43"/>
      <c r="K875" s="43"/>
      <c r="N875" s="31"/>
      <c r="O875" s="43"/>
    </row>
    <row r="876" spans="3:15" x14ac:dyDescent="0.25">
      <c r="C876" s="31"/>
      <c r="I876" s="43"/>
      <c r="J876" s="43"/>
      <c r="K876" s="43"/>
      <c r="N876" s="31"/>
      <c r="O876" s="43"/>
    </row>
    <row r="877" spans="3:15" x14ac:dyDescent="0.25">
      <c r="C877" s="31"/>
      <c r="I877" s="43"/>
      <c r="J877" s="43"/>
      <c r="K877" s="43"/>
      <c r="N877" s="31"/>
      <c r="O877" s="43"/>
    </row>
    <row r="878" spans="3:15" x14ac:dyDescent="0.25">
      <c r="C878" s="31"/>
      <c r="I878" s="43"/>
      <c r="J878" s="43"/>
      <c r="K878" s="43"/>
      <c r="N878" s="31"/>
      <c r="O878" s="43"/>
    </row>
    <row r="879" spans="3:15" x14ac:dyDescent="0.25">
      <c r="C879" s="31"/>
      <c r="I879" s="43"/>
      <c r="J879" s="43"/>
      <c r="K879" s="43"/>
      <c r="N879" s="31"/>
      <c r="O879" s="43"/>
    </row>
    <row r="880" spans="3:15" x14ac:dyDescent="0.25">
      <c r="C880" s="31"/>
      <c r="I880" s="43"/>
      <c r="J880" s="43"/>
      <c r="K880" s="43"/>
      <c r="N880" s="31"/>
      <c r="O880" s="43"/>
    </row>
    <row r="881" spans="3:15" x14ac:dyDescent="0.25">
      <c r="C881" s="31"/>
      <c r="I881" s="43"/>
      <c r="J881" s="43"/>
      <c r="K881" s="43"/>
      <c r="N881" s="31"/>
      <c r="O881" s="43"/>
    </row>
    <row r="882" spans="3:15" x14ac:dyDescent="0.25">
      <c r="C882" s="31"/>
      <c r="I882" s="43"/>
      <c r="J882" s="43"/>
      <c r="K882" s="43"/>
      <c r="N882" s="31"/>
      <c r="O882" s="43"/>
    </row>
    <row r="883" spans="3:15" x14ac:dyDescent="0.25">
      <c r="C883" s="31"/>
      <c r="I883" s="43"/>
      <c r="J883" s="43"/>
      <c r="K883" s="43"/>
      <c r="N883" s="31"/>
      <c r="O883" s="43"/>
    </row>
    <row r="884" spans="3:15" x14ac:dyDescent="0.25">
      <c r="C884" s="31"/>
      <c r="I884" s="43"/>
      <c r="J884" s="43"/>
      <c r="K884" s="43"/>
      <c r="N884" s="31"/>
      <c r="O884" s="43"/>
    </row>
    <row r="885" spans="3:15" x14ac:dyDescent="0.25">
      <c r="C885" s="31"/>
      <c r="I885" s="43"/>
      <c r="J885" s="43"/>
      <c r="K885" s="43"/>
      <c r="N885" s="31"/>
      <c r="O885" s="43"/>
    </row>
    <row r="886" spans="3:15" x14ac:dyDescent="0.25">
      <c r="C886" s="31"/>
      <c r="I886" s="43"/>
      <c r="J886" s="43"/>
      <c r="K886" s="43"/>
      <c r="N886" s="31"/>
      <c r="O886" s="43"/>
    </row>
    <row r="887" spans="3:15" x14ac:dyDescent="0.25">
      <c r="C887" s="31"/>
      <c r="I887" s="43"/>
      <c r="J887" s="43"/>
      <c r="K887" s="43"/>
      <c r="N887" s="31"/>
      <c r="O887" s="43"/>
    </row>
    <row r="888" spans="3:15" x14ac:dyDescent="0.25">
      <c r="C888" s="31"/>
      <c r="I888" s="43"/>
      <c r="J888" s="43"/>
      <c r="K888" s="43"/>
      <c r="N888" s="31"/>
      <c r="O888" s="43"/>
    </row>
    <row r="889" spans="3:15" x14ac:dyDescent="0.25">
      <c r="C889" s="31"/>
      <c r="I889" s="43"/>
      <c r="J889" s="43"/>
      <c r="K889" s="43"/>
      <c r="N889" s="31"/>
      <c r="O889" s="43"/>
    </row>
    <row r="890" spans="3:15" x14ac:dyDescent="0.25">
      <c r="C890" s="31"/>
      <c r="I890" s="43"/>
      <c r="J890" s="43"/>
      <c r="K890" s="43"/>
      <c r="N890" s="31"/>
      <c r="O890" s="43"/>
    </row>
    <row r="891" spans="3:15" x14ac:dyDescent="0.25">
      <c r="C891" s="31"/>
      <c r="I891" s="43"/>
      <c r="J891" s="43"/>
      <c r="K891" s="43"/>
      <c r="N891" s="31"/>
      <c r="O891" s="43"/>
    </row>
    <row r="892" spans="3:15" x14ac:dyDescent="0.25">
      <c r="C892" s="31"/>
      <c r="I892" s="43"/>
      <c r="J892" s="43"/>
      <c r="K892" s="43"/>
      <c r="N892" s="31"/>
      <c r="O892" s="43"/>
    </row>
    <row r="893" spans="3:15" x14ac:dyDescent="0.25">
      <c r="C893" s="31"/>
      <c r="I893" s="43"/>
      <c r="J893" s="43"/>
      <c r="K893" s="43"/>
      <c r="N893" s="31"/>
      <c r="O893" s="43"/>
    </row>
    <row r="894" spans="3:15" x14ac:dyDescent="0.25">
      <c r="C894" s="31"/>
      <c r="I894" s="43"/>
      <c r="J894" s="43"/>
      <c r="K894" s="43"/>
      <c r="N894" s="31"/>
      <c r="O894" s="43"/>
    </row>
    <row r="895" spans="3:15" x14ac:dyDescent="0.25">
      <c r="C895" s="31"/>
      <c r="I895" s="43"/>
      <c r="J895" s="43"/>
      <c r="K895" s="43"/>
      <c r="N895" s="31"/>
      <c r="O895" s="43"/>
    </row>
    <row r="896" spans="3:15" x14ac:dyDescent="0.25">
      <c r="C896" s="31"/>
      <c r="I896" s="43"/>
      <c r="J896" s="43"/>
      <c r="K896" s="43"/>
      <c r="N896" s="31"/>
      <c r="O896" s="43"/>
    </row>
    <row r="897" spans="3:15" x14ac:dyDescent="0.25">
      <c r="C897" s="31"/>
      <c r="I897" s="43"/>
      <c r="J897" s="43"/>
      <c r="K897" s="43"/>
      <c r="N897" s="31"/>
      <c r="O897" s="43"/>
    </row>
    <row r="898" spans="3:15" x14ac:dyDescent="0.25">
      <c r="C898" s="31"/>
      <c r="I898" s="43"/>
      <c r="J898" s="43"/>
      <c r="K898" s="43"/>
      <c r="N898" s="31"/>
      <c r="O898" s="43"/>
    </row>
    <row r="899" spans="3:15" x14ac:dyDescent="0.25">
      <c r="C899" s="31"/>
      <c r="I899" s="43"/>
      <c r="J899" s="43"/>
      <c r="K899" s="43"/>
      <c r="N899" s="31"/>
      <c r="O899" s="43"/>
    </row>
    <row r="900" spans="3:15" x14ac:dyDescent="0.25">
      <c r="C900" s="31"/>
      <c r="I900" s="43"/>
      <c r="J900" s="43"/>
      <c r="K900" s="43"/>
      <c r="N900" s="31"/>
      <c r="O900" s="43"/>
    </row>
    <row r="901" spans="3:15" x14ac:dyDescent="0.25">
      <c r="C901" s="31"/>
      <c r="I901" s="43"/>
      <c r="J901" s="43"/>
      <c r="K901" s="43"/>
      <c r="N901" s="31"/>
      <c r="O901" s="43"/>
    </row>
    <row r="902" spans="3:15" x14ac:dyDescent="0.25">
      <c r="C902" s="31"/>
      <c r="I902" s="43"/>
      <c r="J902" s="43"/>
      <c r="K902" s="43"/>
      <c r="N902" s="31"/>
      <c r="O902" s="43"/>
    </row>
    <row r="903" spans="3:15" x14ac:dyDescent="0.25">
      <c r="C903" s="31"/>
      <c r="I903" s="43"/>
      <c r="J903" s="43"/>
      <c r="K903" s="43"/>
      <c r="N903" s="31"/>
      <c r="O903" s="43"/>
    </row>
    <row r="904" spans="3:15" x14ac:dyDescent="0.25">
      <c r="C904" s="31"/>
      <c r="I904" s="43"/>
      <c r="J904" s="43"/>
      <c r="K904" s="43"/>
      <c r="N904" s="31"/>
      <c r="O904" s="43"/>
    </row>
    <row r="905" spans="3:15" x14ac:dyDescent="0.25">
      <c r="C905" s="31"/>
      <c r="I905" s="43"/>
      <c r="J905" s="43"/>
      <c r="K905" s="43"/>
      <c r="N905" s="31"/>
      <c r="O905" s="43"/>
    </row>
    <row r="906" spans="3:15" x14ac:dyDescent="0.25">
      <c r="C906" s="31"/>
      <c r="I906" s="43"/>
      <c r="J906" s="43"/>
      <c r="K906" s="43"/>
      <c r="N906" s="31"/>
      <c r="O906" s="43"/>
    </row>
    <row r="907" spans="3:15" x14ac:dyDescent="0.25">
      <c r="C907" s="31"/>
      <c r="I907" s="43"/>
      <c r="J907" s="43"/>
      <c r="K907" s="43"/>
      <c r="N907" s="31"/>
      <c r="O907" s="43"/>
    </row>
    <row r="908" spans="3:15" x14ac:dyDescent="0.25">
      <c r="C908" s="31"/>
      <c r="I908" s="43"/>
      <c r="J908" s="43"/>
      <c r="K908" s="43"/>
      <c r="N908" s="31"/>
      <c r="O908" s="43"/>
    </row>
    <row r="909" spans="3:15" x14ac:dyDescent="0.25">
      <c r="C909" s="31"/>
      <c r="I909" s="43"/>
      <c r="J909" s="43"/>
      <c r="K909" s="43"/>
      <c r="N909" s="31"/>
      <c r="O909" s="43"/>
    </row>
    <row r="910" spans="3:15" x14ac:dyDescent="0.25">
      <c r="C910" s="31"/>
      <c r="I910" s="43"/>
      <c r="J910" s="43"/>
      <c r="K910" s="43"/>
      <c r="N910" s="31"/>
      <c r="O910" s="43"/>
    </row>
    <row r="911" spans="3:15" x14ac:dyDescent="0.25">
      <c r="C911" s="31"/>
      <c r="I911" s="43"/>
      <c r="J911" s="43"/>
      <c r="K911" s="43"/>
      <c r="N911" s="31"/>
      <c r="O911" s="43"/>
    </row>
    <row r="912" spans="3:15" x14ac:dyDescent="0.25">
      <c r="C912" s="31"/>
      <c r="I912" s="43"/>
      <c r="J912" s="43"/>
      <c r="K912" s="43"/>
      <c r="N912" s="31"/>
      <c r="O912" s="43"/>
    </row>
    <row r="913" spans="3:15" x14ac:dyDescent="0.25">
      <c r="C913" s="31"/>
      <c r="I913" s="43"/>
      <c r="J913" s="43"/>
      <c r="K913" s="43"/>
      <c r="N913" s="31"/>
      <c r="O913" s="43"/>
    </row>
    <row r="914" spans="3:15" x14ac:dyDescent="0.25">
      <c r="C914" s="31"/>
      <c r="I914" s="43"/>
      <c r="J914" s="43"/>
      <c r="K914" s="43"/>
      <c r="N914" s="31"/>
      <c r="O914" s="43"/>
    </row>
    <row r="915" spans="3:15" x14ac:dyDescent="0.25">
      <c r="C915" s="31"/>
      <c r="I915" s="43"/>
      <c r="J915" s="43"/>
      <c r="K915" s="43"/>
      <c r="N915" s="31"/>
      <c r="O915" s="43"/>
    </row>
    <row r="916" spans="3:15" x14ac:dyDescent="0.25">
      <c r="C916" s="31"/>
      <c r="I916" s="43"/>
      <c r="J916" s="43"/>
      <c r="K916" s="43"/>
      <c r="N916" s="31"/>
      <c r="O916" s="43"/>
    </row>
    <row r="917" spans="3:15" x14ac:dyDescent="0.25">
      <c r="C917" s="31"/>
      <c r="I917" s="43"/>
      <c r="J917" s="43"/>
      <c r="K917" s="43"/>
      <c r="N917" s="31"/>
      <c r="O917" s="43"/>
    </row>
    <row r="918" spans="3:15" x14ac:dyDescent="0.25">
      <c r="C918" s="31"/>
      <c r="I918" s="43"/>
      <c r="J918" s="43"/>
      <c r="K918" s="43"/>
      <c r="N918" s="31"/>
      <c r="O918" s="43"/>
    </row>
    <row r="919" spans="3:15" x14ac:dyDescent="0.25">
      <c r="C919" s="31"/>
      <c r="I919" s="43"/>
      <c r="J919" s="43"/>
      <c r="K919" s="43"/>
      <c r="N919" s="31"/>
      <c r="O919" s="43"/>
    </row>
    <row r="920" spans="3:15" x14ac:dyDescent="0.25">
      <c r="C920" s="31"/>
      <c r="I920" s="43"/>
      <c r="J920" s="43"/>
      <c r="K920" s="43"/>
      <c r="N920" s="31"/>
      <c r="O920" s="43"/>
    </row>
    <row r="921" spans="3:15" x14ac:dyDescent="0.25">
      <c r="C921" s="31"/>
      <c r="I921" s="43"/>
      <c r="J921" s="43"/>
      <c r="K921" s="43"/>
      <c r="N921" s="31"/>
      <c r="O921" s="43"/>
    </row>
    <row r="922" spans="3:15" x14ac:dyDescent="0.25">
      <c r="C922" s="31"/>
      <c r="I922" s="43"/>
      <c r="J922" s="43"/>
      <c r="K922" s="43"/>
      <c r="N922" s="31"/>
      <c r="O922" s="43"/>
    </row>
    <row r="923" spans="3:15" x14ac:dyDescent="0.25">
      <c r="C923" s="31"/>
      <c r="I923" s="43"/>
      <c r="J923" s="43"/>
      <c r="K923" s="43"/>
      <c r="N923" s="31"/>
      <c r="O923" s="43"/>
    </row>
    <row r="924" spans="3:15" x14ac:dyDescent="0.25">
      <c r="C924" s="31"/>
      <c r="I924" s="43"/>
      <c r="J924" s="43"/>
      <c r="K924" s="43"/>
      <c r="N924" s="31"/>
      <c r="O924" s="43"/>
    </row>
    <row r="925" spans="3:15" x14ac:dyDescent="0.25">
      <c r="C925" s="31"/>
      <c r="I925" s="43"/>
      <c r="J925" s="43"/>
      <c r="K925" s="43"/>
      <c r="N925" s="31"/>
      <c r="O925" s="43"/>
    </row>
    <row r="926" spans="3:15" x14ac:dyDescent="0.25">
      <c r="C926" s="31"/>
      <c r="I926" s="43"/>
      <c r="J926" s="43"/>
      <c r="K926" s="43"/>
      <c r="N926" s="31"/>
      <c r="O926" s="43"/>
    </row>
    <row r="927" spans="3:15" x14ac:dyDescent="0.25">
      <c r="C927" s="31"/>
      <c r="I927" s="43"/>
      <c r="J927" s="43"/>
      <c r="K927" s="43"/>
      <c r="N927" s="31"/>
      <c r="O927" s="43"/>
    </row>
    <row r="928" spans="3:15" x14ac:dyDescent="0.25">
      <c r="C928" s="31"/>
      <c r="I928" s="43"/>
      <c r="J928" s="43"/>
      <c r="K928" s="43"/>
      <c r="N928" s="31"/>
      <c r="O928" s="43"/>
    </row>
    <row r="929" spans="3:15" x14ac:dyDescent="0.25">
      <c r="C929" s="31"/>
      <c r="I929" s="43"/>
      <c r="J929" s="43"/>
      <c r="K929" s="43"/>
      <c r="N929" s="31"/>
      <c r="O929" s="43"/>
    </row>
    <row r="930" spans="3:15" x14ac:dyDescent="0.25">
      <c r="C930" s="31"/>
      <c r="I930" s="43"/>
      <c r="J930" s="43"/>
      <c r="K930" s="43"/>
      <c r="N930" s="31"/>
      <c r="O930" s="43"/>
    </row>
    <row r="931" spans="3:15" x14ac:dyDescent="0.25">
      <c r="C931" s="31"/>
      <c r="I931" s="43"/>
      <c r="J931" s="43"/>
      <c r="K931" s="43"/>
      <c r="N931" s="31"/>
      <c r="O931" s="43"/>
    </row>
    <row r="932" spans="3:15" x14ac:dyDescent="0.25">
      <c r="C932" s="31"/>
      <c r="I932" s="43"/>
      <c r="J932" s="43"/>
      <c r="K932" s="43"/>
      <c r="N932" s="31"/>
      <c r="O932" s="43"/>
    </row>
    <row r="933" spans="3:15" x14ac:dyDescent="0.25">
      <c r="C933" s="31"/>
      <c r="I933" s="43"/>
      <c r="J933" s="43"/>
      <c r="K933" s="43"/>
      <c r="N933" s="31"/>
      <c r="O933" s="43"/>
    </row>
    <row r="934" spans="3:15" x14ac:dyDescent="0.25">
      <c r="C934" s="31"/>
      <c r="I934" s="43"/>
      <c r="J934" s="43"/>
      <c r="K934" s="43"/>
      <c r="N934" s="31"/>
      <c r="O934" s="43"/>
    </row>
    <row r="935" spans="3:15" x14ac:dyDescent="0.25">
      <c r="C935" s="31"/>
      <c r="I935" s="43"/>
      <c r="J935" s="43"/>
      <c r="K935" s="43"/>
      <c r="N935" s="31"/>
      <c r="O935" s="43"/>
    </row>
    <row r="936" spans="3:15" x14ac:dyDescent="0.25">
      <c r="C936" s="31"/>
      <c r="I936" s="43"/>
      <c r="J936" s="43"/>
      <c r="K936" s="43"/>
      <c r="N936" s="31"/>
      <c r="O936" s="43"/>
    </row>
    <row r="937" spans="3:15" x14ac:dyDescent="0.25">
      <c r="C937" s="31"/>
      <c r="I937" s="43"/>
      <c r="J937" s="43"/>
      <c r="K937" s="43"/>
      <c r="N937" s="31"/>
      <c r="O937" s="43"/>
    </row>
    <row r="938" spans="3:15" x14ac:dyDescent="0.25">
      <c r="C938" s="31"/>
      <c r="I938" s="43"/>
      <c r="J938" s="43"/>
      <c r="K938" s="43"/>
      <c r="N938" s="31"/>
      <c r="O938" s="43"/>
    </row>
    <row r="939" spans="3:15" x14ac:dyDescent="0.25">
      <c r="C939" s="31"/>
      <c r="I939" s="43"/>
      <c r="J939" s="43"/>
      <c r="K939" s="43"/>
      <c r="N939" s="31"/>
      <c r="O939" s="43"/>
    </row>
    <row r="940" spans="3:15" x14ac:dyDescent="0.25">
      <c r="C940" s="31"/>
      <c r="I940" s="43"/>
      <c r="J940" s="43"/>
      <c r="K940" s="43"/>
      <c r="N940" s="31"/>
      <c r="O940" s="43"/>
    </row>
    <row r="941" spans="3:15" x14ac:dyDescent="0.25">
      <c r="C941" s="31"/>
      <c r="I941" s="43"/>
      <c r="J941" s="43"/>
      <c r="K941" s="43"/>
      <c r="N941" s="31"/>
      <c r="O941" s="43"/>
    </row>
    <row r="942" spans="3:15" x14ac:dyDescent="0.25">
      <c r="C942" s="31"/>
      <c r="I942" s="43"/>
      <c r="J942" s="43"/>
      <c r="K942" s="43"/>
      <c r="N942" s="31"/>
      <c r="O942" s="43"/>
    </row>
    <row r="943" spans="3:15" x14ac:dyDescent="0.25">
      <c r="C943" s="31"/>
      <c r="I943" s="43"/>
      <c r="J943" s="43"/>
      <c r="K943" s="43"/>
      <c r="N943" s="31"/>
      <c r="O943" s="43"/>
    </row>
    <row r="944" spans="3:15" x14ac:dyDescent="0.25">
      <c r="C944" s="31"/>
      <c r="I944" s="43"/>
      <c r="J944" s="43"/>
      <c r="K944" s="43"/>
      <c r="N944" s="31"/>
      <c r="O944" s="43"/>
    </row>
    <row r="945" spans="3:15" x14ac:dyDescent="0.25">
      <c r="C945" s="31"/>
      <c r="I945" s="43"/>
      <c r="J945" s="43"/>
      <c r="K945" s="43"/>
      <c r="N945" s="31"/>
      <c r="O945" s="43"/>
    </row>
    <row r="946" spans="3:15" x14ac:dyDescent="0.25">
      <c r="C946" s="31"/>
      <c r="I946" s="43"/>
      <c r="J946" s="43"/>
      <c r="K946" s="43"/>
      <c r="N946" s="31"/>
      <c r="O946" s="43"/>
    </row>
    <row r="947" spans="3:15" x14ac:dyDescent="0.25">
      <c r="C947" s="31"/>
      <c r="I947" s="43"/>
      <c r="J947" s="43"/>
      <c r="K947" s="43"/>
      <c r="N947" s="31"/>
      <c r="O947" s="43"/>
    </row>
    <row r="948" spans="3:15" x14ac:dyDescent="0.25">
      <c r="C948" s="31"/>
      <c r="I948" s="43"/>
      <c r="J948" s="43"/>
      <c r="K948" s="43"/>
      <c r="N948" s="31"/>
      <c r="O948" s="43"/>
    </row>
    <row r="949" spans="3:15" x14ac:dyDescent="0.25">
      <c r="C949" s="31"/>
      <c r="I949" s="43"/>
      <c r="J949" s="43"/>
      <c r="K949" s="43"/>
      <c r="N949" s="31"/>
      <c r="O949" s="43"/>
    </row>
    <row r="950" spans="3:15" x14ac:dyDescent="0.25">
      <c r="C950" s="31"/>
      <c r="I950" s="43"/>
      <c r="J950" s="43"/>
      <c r="K950" s="43"/>
      <c r="N950" s="31"/>
      <c r="O950" s="43"/>
    </row>
    <row r="951" spans="3:15" x14ac:dyDescent="0.25">
      <c r="C951" s="31"/>
      <c r="I951" s="43"/>
      <c r="J951" s="43"/>
      <c r="K951" s="43"/>
      <c r="N951" s="31"/>
      <c r="O951" s="43"/>
    </row>
    <row r="952" spans="3:15" x14ac:dyDescent="0.25">
      <c r="C952" s="31"/>
      <c r="I952" s="43"/>
      <c r="J952" s="43"/>
      <c r="K952" s="43"/>
      <c r="N952" s="31"/>
      <c r="O952" s="43"/>
    </row>
    <row r="953" spans="3:15" x14ac:dyDescent="0.25">
      <c r="C953" s="31"/>
      <c r="I953" s="43"/>
      <c r="J953" s="43"/>
      <c r="K953" s="43"/>
      <c r="N953" s="31"/>
      <c r="O953" s="43"/>
    </row>
    <row r="954" spans="3:15" x14ac:dyDescent="0.25">
      <c r="C954" s="31"/>
      <c r="I954" s="43"/>
      <c r="J954" s="43"/>
      <c r="K954" s="43"/>
      <c r="N954" s="31"/>
      <c r="O954" s="43"/>
    </row>
    <row r="955" spans="3:15" x14ac:dyDescent="0.25">
      <c r="C955" s="31"/>
      <c r="I955" s="43"/>
      <c r="J955" s="43"/>
      <c r="K955" s="43"/>
      <c r="N955" s="31"/>
      <c r="O955" s="43"/>
    </row>
    <row r="956" spans="3:15" x14ac:dyDescent="0.25">
      <c r="C956" s="31"/>
      <c r="I956" s="43"/>
      <c r="J956" s="43"/>
      <c r="K956" s="43"/>
      <c r="N956" s="31"/>
      <c r="O956" s="43"/>
    </row>
    <row r="957" spans="3:15" x14ac:dyDescent="0.25">
      <c r="C957" s="31"/>
      <c r="I957" s="43"/>
      <c r="J957" s="43"/>
      <c r="K957" s="43"/>
      <c r="N957" s="31"/>
      <c r="O957" s="43"/>
    </row>
    <row r="958" spans="3:15" x14ac:dyDescent="0.25">
      <c r="C958" s="31"/>
      <c r="I958" s="43"/>
      <c r="J958" s="43"/>
      <c r="K958" s="43"/>
      <c r="N958" s="31"/>
      <c r="O958" s="43"/>
    </row>
    <row r="959" spans="3:15" x14ac:dyDescent="0.25">
      <c r="C959" s="31"/>
      <c r="I959" s="43"/>
      <c r="J959" s="43"/>
      <c r="K959" s="43"/>
      <c r="N959" s="31"/>
      <c r="O959" s="43"/>
    </row>
    <row r="960" spans="3:15" x14ac:dyDescent="0.25">
      <c r="C960" s="31"/>
      <c r="I960" s="43"/>
      <c r="J960" s="43"/>
      <c r="K960" s="43"/>
      <c r="N960" s="31"/>
      <c r="O960" s="43"/>
    </row>
    <row r="961" spans="3:15" x14ac:dyDescent="0.25">
      <c r="C961" s="31"/>
      <c r="I961" s="43"/>
      <c r="J961" s="43"/>
      <c r="K961" s="43"/>
      <c r="N961" s="31"/>
      <c r="O961" s="43"/>
    </row>
    <row r="962" spans="3:15" x14ac:dyDescent="0.25">
      <c r="C962" s="31"/>
      <c r="I962" s="43"/>
      <c r="J962" s="43"/>
      <c r="K962" s="43"/>
      <c r="N962" s="31"/>
      <c r="O962" s="43"/>
    </row>
    <row r="963" spans="3:15" x14ac:dyDescent="0.25">
      <c r="C963" s="31"/>
      <c r="I963" s="43"/>
      <c r="J963" s="43"/>
      <c r="K963" s="43"/>
      <c r="N963" s="31"/>
      <c r="O963" s="43"/>
    </row>
    <row r="964" spans="3:15" x14ac:dyDescent="0.25">
      <c r="C964" s="31"/>
      <c r="I964" s="43"/>
      <c r="J964" s="43"/>
      <c r="K964" s="43"/>
      <c r="N964" s="31"/>
      <c r="O964" s="43"/>
    </row>
    <row r="965" spans="3:15" x14ac:dyDescent="0.25">
      <c r="C965" s="31"/>
      <c r="I965" s="43"/>
      <c r="J965" s="43"/>
      <c r="K965" s="43"/>
      <c r="N965" s="31"/>
      <c r="O965" s="43"/>
    </row>
    <row r="966" spans="3:15" x14ac:dyDescent="0.25">
      <c r="C966" s="31"/>
      <c r="I966" s="43"/>
      <c r="J966" s="43"/>
      <c r="K966" s="43"/>
      <c r="N966" s="31"/>
      <c r="O966" s="43"/>
    </row>
    <row r="967" spans="3:15" x14ac:dyDescent="0.25">
      <c r="C967" s="31"/>
      <c r="I967" s="43"/>
      <c r="J967" s="43"/>
      <c r="K967" s="43"/>
      <c r="N967" s="31"/>
      <c r="O967" s="43"/>
    </row>
    <row r="968" spans="3:15" x14ac:dyDescent="0.25">
      <c r="C968" s="31"/>
      <c r="I968" s="43"/>
      <c r="J968" s="43"/>
      <c r="K968" s="43"/>
      <c r="N968" s="31"/>
      <c r="O968" s="43"/>
    </row>
    <row r="969" spans="3:15" x14ac:dyDescent="0.25">
      <c r="C969" s="31"/>
      <c r="I969" s="43"/>
      <c r="J969" s="43"/>
      <c r="K969" s="43"/>
      <c r="N969" s="31"/>
      <c r="O969" s="43"/>
    </row>
    <row r="970" spans="3:15" x14ac:dyDescent="0.25">
      <c r="C970" s="31"/>
      <c r="I970" s="43"/>
      <c r="J970" s="43"/>
      <c r="K970" s="43"/>
      <c r="N970" s="31"/>
      <c r="O970" s="43"/>
    </row>
    <row r="971" spans="3:15" x14ac:dyDescent="0.25">
      <c r="C971" s="31"/>
      <c r="I971" s="43"/>
      <c r="J971" s="43"/>
      <c r="K971" s="43"/>
      <c r="N971" s="31"/>
      <c r="O971" s="43"/>
    </row>
    <row r="972" spans="3:15" x14ac:dyDescent="0.25">
      <c r="C972" s="31"/>
      <c r="I972" s="43"/>
      <c r="J972" s="43"/>
      <c r="K972" s="43"/>
      <c r="N972" s="31"/>
      <c r="O972" s="43"/>
    </row>
    <row r="973" spans="3:15" x14ac:dyDescent="0.25">
      <c r="C973" s="31"/>
      <c r="I973" s="43"/>
      <c r="J973" s="43"/>
      <c r="K973" s="43"/>
      <c r="N973" s="31"/>
      <c r="O973" s="43"/>
    </row>
    <row r="974" spans="3:15" x14ac:dyDescent="0.25">
      <c r="C974" s="31"/>
      <c r="I974" s="43"/>
      <c r="J974" s="43"/>
      <c r="K974" s="43"/>
      <c r="N974" s="31"/>
      <c r="O974" s="43"/>
    </row>
    <row r="975" spans="3:15" x14ac:dyDescent="0.25">
      <c r="C975" s="31"/>
      <c r="I975" s="43"/>
      <c r="J975" s="43"/>
      <c r="K975" s="43"/>
      <c r="N975" s="31"/>
      <c r="O975" s="43"/>
    </row>
    <row r="976" spans="3:15" x14ac:dyDescent="0.25">
      <c r="C976" s="31"/>
      <c r="I976" s="43"/>
      <c r="J976" s="43"/>
      <c r="K976" s="43"/>
      <c r="N976" s="31"/>
      <c r="O976" s="43"/>
    </row>
    <row r="977" spans="3:15" x14ac:dyDescent="0.25">
      <c r="C977" s="31"/>
      <c r="I977" s="43"/>
      <c r="J977" s="43"/>
      <c r="K977" s="43"/>
      <c r="N977" s="31"/>
      <c r="O977" s="43"/>
    </row>
    <row r="978" spans="3:15" x14ac:dyDescent="0.25">
      <c r="C978" s="31"/>
      <c r="I978" s="43"/>
      <c r="J978" s="43"/>
      <c r="K978" s="43"/>
      <c r="N978" s="31"/>
      <c r="O978" s="43"/>
    </row>
    <row r="979" spans="3:15" x14ac:dyDescent="0.25">
      <c r="C979" s="31"/>
      <c r="I979" s="43"/>
      <c r="J979" s="43"/>
      <c r="K979" s="43"/>
      <c r="N979" s="31"/>
      <c r="O979" s="43"/>
    </row>
    <row r="980" spans="3:15" x14ac:dyDescent="0.25">
      <c r="C980" s="31"/>
      <c r="I980" s="43"/>
      <c r="J980" s="43"/>
      <c r="K980" s="43"/>
      <c r="N980" s="31"/>
      <c r="O980" s="43"/>
    </row>
    <row r="981" spans="3:15" x14ac:dyDescent="0.25">
      <c r="C981" s="31"/>
      <c r="I981" s="43"/>
      <c r="J981" s="43"/>
      <c r="K981" s="43"/>
      <c r="N981" s="31"/>
      <c r="O981" s="43"/>
    </row>
    <row r="982" spans="3:15" x14ac:dyDescent="0.25">
      <c r="C982" s="31"/>
      <c r="I982" s="43"/>
      <c r="J982" s="43"/>
      <c r="K982" s="43"/>
      <c r="N982" s="31"/>
      <c r="O982" s="43"/>
    </row>
    <row r="983" spans="3:15" x14ac:dyDescent="0.25">
      <c r="C983" s="31"/>
      <c r="I983" s="43"/>
      <c r="J983" s="43"/>
      <c r="K983" s="43"/>
      <c r="N983" s="31"/>
      <c r="O983" s="43"/>
    </row>
    <row r="984" spans="3:15" x14ac:dyDescent="0.25">
      <c r="C984" s="31"/>
      <c r="I984" s="43"/>
      <c r="J984" s="43"/>
      <c r="K984" s="43"/>
      <c r="N984" s="31"/>
      <c r="O984" s="43"/>
    </row>
    <row r="985" spans="3:15" x14ac:dyDescent="0.25">
      <c r="C985" s="31"/>
      <c r="I985" s="43"/>
      <c r="J985" s="43"/>
      <c r="K985" s="43"/>
      <c r="N985" s="31"/>
      <c r="O985" s="43"/>
    </row>
    <row r="986" spans="3:15" x14ac:dyDescent="0.25">
      <c r="C986" s="31"/>
      <c r="I986" s="43"/>
      <c r="J986" s="43"/>
      <c r="K986" s="43"/>
      <c r="N986" s="31"/>
      <c r="O986" s="43"/>
    </row>
    <row r="987" spans="3:15" x14ac:dyDescent="0.25">
      <c r="C987" s="31"/>
      <c r="I987" s="43"/>
      <c r="J987" s="43"/>
      <c r="K987" s="43"/>
      <c r="N987" s="31"/>
      <c r="O987" s="43"/>
    </row>
    <row r="988" spans="3:15" x14ac:dyDescent="0.25">
      <c r="C988" s="31"/>
      <c r="I988" s="43"/>
      <c r="J988" s="43"/>
      <c r="K988" s="43"/>
      <c r="N988" s="31"/>
      <c r="O988" s="43"/>
    </row>
    <row r="989" spans="3:15" x14ac:dyDescent="0.25">
      <c r="C989" s="31"/>
      <c r="I989" s="43"/>
      <c r="J989" s="43"/>
      <c r="K989" s="43"/>
      <c r="N989" s="31"/>
      <c r="O989" s="43"/>
    </row>
    <row r="990" spans="3:15" x14ac:dyDescent="0.25">
      <c r="C990" s="31"/>
      <c r="I990" s="43"/>
      <c r="J990" s="43"/>
      <c r="K990" s="43"/>
      <c r="N990" s="31"/>
      <c r="O990" s="43"/>
    </row>
    <row r="991" spans="3:15" x14ac:dyDescent="0.25">
      <c r="C991" s="31"/>
      <c r="I991" s="43"/>
      <c r="J991" s="43"/>
      <c r="K991" s="43"/>
      <c r="N991" s="31"/>
      <c r="O991" s="43"/>
    </row>
    <row r="992" spans="3:15" x14ac:dyDescent="0.25">
      <c r="C992" s="31"/>
      <c r="I992" s="43"/>
      <c r="J992" s="43"/>
      <c r="K992" s="43"/>
      <c r="N992" s="31"/>
      <c r="O992" s="43"/>
    </row>
    <row r="993" spans="3:15" x14ac:dyDescent="0.25">
      <c r="C993" s="31"/>
      <c r="I993" s="43"/>
      <c r="J993" s="43"/>
      <c r="K993" s="43"/>
      <c r="N993" s="31"/>
      <c r="O993" s="43"/>
    </row>
    <row r="994" spans="3:15" x14ac:dyDescent="0.25">
      <c r="C994" s="31"/>
      <c r="I994" s="43"/>
      <c r="J994" s="43"/>
      <c r="K994" s="43"/>
      <c r="N994" s="31"/>
      <c r="O994" s="43"/>
    </row>
    <row r="995" spans="3:15" x14ac:dyDescent="0.25">
      <c r="C995" s="31"/>
      <c r="I995" s="43"/>
      <c r="J995" s="43"/>
      <c r="K995" s="43"/>
      <c r="N995" s="31"/>
      <c r="O995" s="43"/>
    </row>
    <row r="996" spans="3:15" x14ac:dyDescent="0.25">
      <c r="C996" s="31"/>
      <c r="I996" s="43"/>
      <c r="J996" s="43"/>
      <c r="K996" s="43"/>
      <c r="N996" s="31"/>
      <c r="O996" s="43"/>
    </row>
    <row r="997" spans="3:15" x14ac:dyDescent="0.25">
      <c r="C997" s="31"/>
      <c r="I997" s="43"/>
      <c r="J997" s="43"/>
      <c r="K997" s="43"/>
      <c r="N997" s="31"/>
      <c r="O997" s="43"/>
    </row>
    <row r="998" spans="3:15" x14ac:dyDescent="0.25">
      <c r="C998" s="31"/>
      <c r="I998" s="43"/>
      <c r="J998" s="43"/>
      <c r="K998" s="43"/>
      <c r="N998" s="31"/>
      <c r="O998" s="43"/>
    </row>
    <row r="999" spans="3:15" x14ac:dyDescent="0.25">
      <c r="C999" s="31"/>
      <c r="I999" s="43"/>
      <c r="J999" s="43"/>
      <c r="K999" s="43"/>
      <c r="N999" s="31"/>
      <c r="O999" s="43"/>
    </row>
    <row r="1000" spans="3:15" x14ac:dyDescent="0.25">
      <c r="C1000" s="31"/>
      <c r="I1000" s="43"/>
      <c r="J1000" s="43"/>
      <c r="K1000" s="43"/>
      <c r="N1000" s="31"/>
      <c r="O1000" s="43"/>
    </row>
    <row r="1001" spans="3:15" x14ac:dyDescent="0.25">
      <c r="C1001" s="31"/>
      <c r="I1001" s="43"/>
      <c r="J1001" s="43"/>
      <c r="K1001" s="43"/>
      <c r="N1001" s="31"/>
      <c r="O1001" s="43"/>
    </row>
    <row r="1002" spans="3:15" x14ac:dyDescent="0.25">
      <c r="C1002" s="31"/>
      <c r="I1002" s="43"/>
      <c r="J1002" s="43"/>
      <c r="K1002" s="43"/>
      <c r="N1002" s="31"/>
      <c r="O1002" s="43"/>
    </row>
    <row r="1003" spans="3:15" x14ac:dyDescent="0.25">
      <c r="C1003" s="31"/>
      <c r="I1003" s="43"/>
      <c r="J1003" s="43"/>
      <c r="K1003" s="43"/>
      <c r="N1003" s="31"/>
      <c r="O1003" s="43"/>
    </row>
    <row r="1004" spans="3:15" x14ac:dyDescent="0.25">
      <c r="C1004" s="31"/>
      <c r="I1004" s="43"/>
      <c r="J1004" s="43"/>
      <c r="K1004" s="43"/>
      <c r="N1004" s="31"/>
      <c r="O1004" s="43"/>
    </row>
  </sheetData>
  <mergeCells count="18">
    <mergeCell ref="N24:O24"/>
    <mergeCell ref="B7:K7"/>
    <mergeCell ref="B8:K8"/>
    <mergeCell ref="B9:K9"/>
    <mergeCell ref="B10:K10"/>
    <mergeCell ref="N19:O19"/>
    <mergeCell ref="N20:O20"/>
    <mergeCell ref="N21:O21"/>
    <mergeCell ref="N22:O22"/>
    <mergeCell ref="N23:O23"/>
    <mergeCell ref="A11:A16"/>
    <mergeCell ref="B11:K16"/>
    <mergeCell ref="B1:K1"/>
    <mergeCell ref="B2:K2"/>
    <mergeCell ref="B3:K3"/>
    <mergeCell ref="B4:K4"/>
    <mergeCell ref="B5:K5"/>
    <mergeCell ref="B6:K6"/>
  </mergeCells>
  <pageMargins left="0.7" right="0.7" top="0.75" bottom="0.75" header="0.3" footer="0.3"/>
  <pageSetup paperSize="9" orientation="portrait" horizontalDpi="120" verticalDpi="72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977"/>
  <sheetViews>
    <sheetView topLeftCell="A40" workbookViewId="0">
      <selection activeCell="P13" sqref="P13"/>
    </sheetView>
  </sheetViews>
  <sheetFormatPr defaultColWidth="14.453125" defaultRowHeight="15.75" customHeight="1" x14ac:dyDescent="0.25"/>
  <cols>
    <col min="1" max="1" width="31.26953125" customWidth="1"/>
    <col min="2" max="2" width="37" customWidth="1"/>
    <col min="3" max="3" width="6.1796875" bestFit="1" customWidth="1"/>
    <col min="4" max="4" width="7.453125" customWidth="1"/>
    <col min="5" max="8" width="4.7265625" customWidth="1"/>
    <col min="9" max="11" width="13.81640625" customWidth="1"/>
    <col min="12" max="12" width="6.81640625" customWidth="1"/>
    <col min="13" max="13" width="29.1796875" customWidth="1"/>
    <col min="14" max="14" width="9.81640625" customWidth="1"/>
    <col min="15" max="15" width="19" customWidth="1"/>
  </cols>
  <sheetData>
    <row r="1" spans="1:15" ht="15.5" x14ac:dyDescent="0.35">
      <c r="A1" s="3" t="s">
        <v>1</v>
      </c>
      <c r="B1" s="144"/>
      <c r="C1" s="141"/>
      <c r="D1" s="141"/>
      <c r="E1" s="141"/>
      <c r="F1" s="141"/>
      <c r="G1" s="141"/>
      <c r="H1" s="141"/>
      <c r="I1" s="141"/>
      <c r="J1" s="141"/>
      <c r="K1" s="152"/>
      <c r="L1" s="5"/>
      <c r="M1" s="7" t="s">
        <v>6</v>
      </c>
      <c r="N1" s="9"/>
      <c r="O1" s="11">
        <f>SUM(O2:O7)</f>
        <v>622901.04166666663</v>
      </c>
    </row>
    <row r="2" spans="1:15" ht="15.75" customHeight="1" x14ac:dyDescent="0.35">
      <c r="A2" s="3" t="s">
        <v>9</v>
      </c>
      <c r="B2" s="144"/>
      <c r="C2" s="141"/>
      <c r="D2" s="141"/>
      <c r="E2" s="141"/>
      <c r="F2" s="141"/>
      <c r="G2" s="141"/>
      <c r="H2" s="141"/>
      <c r="I2" s="141"/>
      <c r="J2" s="141"/>
      <c r="K2" s="152"/>
      <c r="L2" s="5"/>
      <c r="M2" s="13" t="s">
        <v>12</v>
      </c>
      <c r="N2" s="14"/>
      <c r="O2" s="15">
        <f>K26</f>
        <v>420000</v>
      </c>
    </row>
    <row r="3" spans="1:15" ht="15.75" customHeight="1" x14ac:dyDescent="0.35">
      <c r="A3" s="3" t="s">
        <v>13</v>
      </c>
      <c r="B3" s="144"/>
      <c r="C3" s="141"/>
      <c r="D3" s="141"/>
      <c r="E3" s="141"/>
      <c r="F3" s="141"/>
      <c r="G3" s="141"/>
      <c r="H3" s="141"/>
      <c r="I3" s="141"/>
      <c r="J3" s="141"/>
      <c r="K3" s="152"/>
      <c r="L3" s="5"/>
      <c r="M3" s="13" t="s">
        <v>15</v>
      </c>
      <c r="N3" s="14"/>
      <c r="O3" s="15">
        <f>K38</f>
        <v>202901.04166666666</v>
      </c>
    </row>
    <row r="4" spans="1:15" ht="15.75" customHeight="1" x14ac:dyDescent="0.35">
      <c r="A4" s="3" t="s">
        <v>16</v>
      </c>
      <c r="B4" s="145"/>
      <c r="C4" s="141"/>
      <c r="D4" s="141"/>
      <c r="E4" s="141"/>
      <c r="F4" s="141"/>
      <c r="G4" s="141"/>
      <c r="H4" s="141"/>
      <c r="I4" s="141"/>
      <c r="J4" s="141"/>
      <c r="K4" s="152"/>
      <c r="L4" s="5"/>
      <c r="M4" s="16" t="s">
        <v>18</v>
      </c>
      <c r="N4" s="14"/>
      <c r="O4" s="15">
        <f>K51</f>
        <v>0</v>
      </c>
    </row>
    <row r="5" spans="1:15" ht="15.75" customHeight="1" x14ac:dyDescent="0.35">
      <c r="A5" s="3" t="s">
        <v>19</v>
      </c>
      <c r="B5" s="145"/>
      <c r="C5" s="141"/>
      <c r="D5" s="141"/>
      <c r="E5" s="141"/>
      <c r="F5" s="141"/>
      <c r="G5" s="141"/>
      <c r="H5" s="141"/>
      <c r="I5" s="141"/>
      <c r="J5" s="141"/>
      <c r="K5" s="152"/>
      <c r="L5" s="5"/>
      <c r="M5" s="13" t="s">
        <v>20</v>
      </c>
      <c r="N5" s="14"/>
      <c r="O5" s="15">
        <f>K65</f>
        <v>0</v>
      </c>
    </row>
    <row r="6" spans="1:15" ht="15.75" customHeight="1" x14ac:dyDescent="0.35">
      <c r="A6" s="3" t="s">
        <v>22</v>
      </c>
      <c r="B6" s="145"/>
      <c r="C6" s="141"/>
      <c r="D6" s="141"/>
      <c r="E6" s="141"/>
      <c r="F6" s="141"/>
      <c r="G6" s="141"/>
      <c r="H6" s="141"/>
      <c r="I6" s="141"/>
      <c r="J6" s="141"/>
      <c r="K6" s="152"/>
      <c r="L6" s="5"/>
      <c r="M6" s="13"/>
      <c r="N6" s="14"/>
      <c r="O6" s="15"/>
    </row>
    <row r="7" spans="1:15" ht="15.75" customHeight="1" x14ac:dyDescent="0.35">
      <c r="A7" s="3" t="s">
        <v>24</v>
      </c>
      <c r="B7" s="145"/>
      <c r="C7" s="141"/>
      <c r="D7" s="141"/>
      <c r="E7" s="141"/>
      <c r="F7" s="141"/>
      <c r="G7" s="141"/>
      <c r="H7" s="141"/>
      <c r="I7" s="141"/>
      <c r="J7" s="141"/>
      <c r="K7" s="152"/>
      <c r="L7" s="5"/>
      <c r="M7" s="13" t="s">
        <v>27</v>
      </c>
      <c r="N7" s="14"/>
      <c r="O7" s="15">
        <f>K94</f>
        <v>0</v>
      </c>
    </row>
    <row r="8" spans="1:15" ht="15.75" customHeight="1" x14ac:dyDescent="0.35">
      <c r="A8" s="3" t="s">
        <v>22</v>
      </c>
      <c r="B8" s="145"/>
      <c r="C8" s="141"/>
      <c r="D8" s="141"/>
      <c r="E8" s="141"/>
      <c r="F8" s="141"/>
      <c r="G8" s="141"/>
      <c r="H8" s="141"/>
      <c r="I8" s="141"/>
      <c r="J8" s="141"/>
      <c r="K8" s="152"/>
      <c r="L8" s="5"/>
      <c r="M8" s="7" t="s">
        <v>31</v>
      </c>
      <c r="N8" s="36">
        <v>1</v>
      </c>
      <c r="O8" s="15">
        <f>N8*O1</f>
        <v>622901.04166666663</v>
      </c>
    </row>
    <row r="9" spans="1:15" ht="15.75" customHeight="1" x14ac:dyDescent="0.55000000000000004">
      <c r="A9" s="17" t="s">
        <v>35</v>
      </c>
      <c r="B9" s="145"/>
      <c r="C9" s="141"/>
      <c r="D9" s="141"/>
      <c r="E9" s="141"/>
      <c r="F9" s="141"/>
      <c r="G9" s="141"/>
      <c r="H9" s="141"/>
      <c r="I9" s="141"/>
      <c r="J9" s="141"/>
      <c r="K9" s="152"/>
      <c r="L9" s="5"/>
      <c r="M9" s="7" t="s">
        <v>37</v>
      </c>
      <c r="N9" s="18">
        <v>0.5</v>
      </c>
      <c r="O9" s="19">
        <f>N9*O1</f>
        <v>311450.52083333331</v>
      </c>
    </row>
    <row r="10" spans="1:15" ht="15.5" x14ac:dyDescent="0.35">
      <c r="A10" s="3" t="s">
        <v>40</v>
      </c>
      <c r="B10" s="145"/>
      <c r="C10" s="141"/>
      <c r="D10" s="141"/>
      <c r="E10" s="141"/>
      <c r="F10" s="141"/>
      <c r="G10" s="141"/>
      <c r="H10" s="141"/>
      <c r="I10" s="141"/>
      <c r="J10" s="141"/>
      <c r="K10" s="152"/>
      <c r="L10" s="5"/>
      <c r="M10" s="7" t="s">
        <v>41</v>
      </c>
      <c r="N10" s="14"/>
      <c r="O10" s="11">
        <f>O1+O8+O9</f>
        <v>1557252.6041666665</v>
      </c>
    </row>
    <row r="11" spans="1:15" ht="15.75" customHeight="1" x14ac:dyDescent="0.35">
      <c r="A11" s="125" t="s">
        <v>42</v>
      </c>
      <c r="B11" s="128"/>
      <c r="C11" s="129"/>
      <c r="D11" s="129"/>
      <c r="E11" s="129"/>
      <c r="F11" s="129"/>
      <c r="G11" s="129"/>
      <c r="H11" s="129"/>
      <c r="I11" s="129"/>
      <c r="J11" s="129"/>
      <c r="K11" s="153"/>
      <c r="L11" s="5"/>
      <c r="M11" s="13" t="s">
        <v>44</v>
      </c>
      <c r="N11" s="18">
        <v>0</v>
      </c>
      <c r="O11" s="15">
        <f>N11*O10</f>
        <v>0</v>
      </c>
    </row>
    <row r="12" spans="1:15" ht="15.75" customHeight="1" x14ac:dyDescent="0.35">
      <c r="A12" s="126"/>
      <c r="B12" s="132"/>
      <c r="C12" s="133"/>
      <c r="D12" s="133"/>
      <c r="E12" s="133"/>
      <c r="F12" s="133"/>
      <c r="G12" s="133"/>
      <c r="H12" s="133"/>
      <c r="I12" s="133"/>
      <c r="J12" s="133"/>
      <c r="K12" s="154"/>
      <c r="L12" s="5"/>
      <c r="M12" s="13" t="s">
        <v>46</v>
      </c>
      <c r="N12" s="18">
        <v>0.05</v>
      </c>
      <c r="O12" s="15">
        <f>N12*O10</f>
        <v>77862.630208333328</v>
      </c>
    </row>
    <row r="13" spans="1:15" ht="15.75" customHeight="1" x14ac:dyDescent="0.45">
      <c r="A13" s="126"/>
      <c r="B13" s="132"/>
      <c r="C13" s="133"/>
      <c r="D13" s="133"/>
      <c r="E13" s="133"/>
      <c r="F13" s="133"/>
      <c r="G13" s="133"/>
      <c r="H13" s="133"/>
      <c r="I13" s="133"/>
      <c r="J13" s="133"/>
      <c r="K13" s="154"/>
      <c r="L13" s="5"/>
      <c r="M13" s="7" t="s">
        <v>47</v>
      </c>
      <c r="N13" s="20"/>
      <c r="O13" s="21">
        <f>SUM(O10:O12)</f>
        <v>1635115.2343749998</v>
      </c>
    </row>
    <row r="14" spans="1:15" ht="15.75" customHeight="1" x14ac:dyDescent="0.35">
      <c r="A14" s="126"/>
      <c r="B14" s="132"/>
      <c r="C14" s="133"/>
      <c r="D14" s="133"/>
      <c r="E14" s="133"/>
      <c r="F14" s="133"/>
      <c r="G14" s="133"/>
      <c r="H14" s="133"/>
      <c r="I14" s="133"/>
      <c r="J14" s="133"/>
      <c r="K14" s="154"/>
      <c r="L14" s="5"/>
      <c r="M14" s="13" t="s">
        <v>50</v>
      </c>
      <c r="N14" s="22">
        <v>4</v>
      </c>
      <c r="O14" s="23"/>
    </row>
    <row r="15" spans="1:15" ht="15.75" customHeight="1" x14ac:dyDescent="0.45">
      <c r="A15" s="126"/>
      <c r="B15" s="132"/>
      <c r="C15" s="133"/>
      <c r="D15" s="133"/>
      <c r="E15" s="133"/>
      <c r="F15" s="133"/>
      <c r="G15" s="133"/>
      <c r="H15" s="133"/>
      <c r="I15" s="133"/>
      <c r="J15" s="133"/>
      <c r="K15" s="154"/>
      <c r="L15" s="5"/>
      <c r="M15" s="7" t="s">
        <v>52</v>
      </c>
      <c r="N15" s="24" t="b">
        <v>0</v>
      </c>
      <c r="O15" s="21">
        <f>IF(N15=TRUE,ROUNDDOWN(O13,-N14),O13)</f>
        <v>1635115.2343749998</v>
      </c>
    </row>
    <row r="16" spans="1:15" ht="15.75" customHeight="1" x14ac:dyDescent="0.45">
      <c r="A16" s="127"/>
      <c r="B16" s="136"/>
      <c r="C16" s="137"/>
      <c r="D16" s="137"/>
      <c r="E16" s="137"/>
      <c r="F16" s="137"/>
      <c r="G16" s="137"/>
      <c r="H16" s="137"/>
      <c r="I16" s="137"/>
      <c r="J16" s="137"/>
      <c r="K16" s="155"/>
      <c r="L16" s="5"/>
      <c r="M16" s="23" t="s">
        <v>58</v>
      </c>
      <c r="N16" s="24" t="b">
        <v>0</v>
      </c>
      <c r="O16" s="21">
        <f>IF(N16=TRUE,O15*10%,0)</f>
        <v>0</v>
      </c>
    </row>
    <row r="17" spans="1:15" ht="15.75" customHeight="1" x14ac:dyDescent="0.45">
      <c r="A17" s="25"/>
      <c r="B17" s="25"/>
      <c r="C17" s="59"/>
      <c r="D17" s="25"/>
      <c r="E17" s="25"/>
      <c r="F17" s="25"/>
      <c r="G17" s="25"/>
      <c r="H17" s="25"/>
      <c r="I17" s="26"/>
      <c r="J17" s="26"/>
      <c r="K17" s="26"/>
      <c r="L17" s="5"/>
      <c r="M17" s="7" t="s">
        <v>61</v>
      </c>
      <c r="N17" s="27"/>
      <c r="O17" s="28">
        <f>SUM(O15:O16)</f>
        <v>1635115.2343749998</v>
      </c>
    </row>
    <row r="18" spans="1:15" ht="14.5" x14ac:dyDescent="0.35">
      <c r="A18" s="29" t="s">
        <v>63</v>
      </c>
      <c r="B18" s="25"/>
      <c r="C18" s="59"/>
      <c r="D18" s="25"/>
      <c r="E18" s="25"/>
      <c r="F18" s="25"/>
      <c r="G18" s="25"/>
      <c r="H18" s="25"/>
      <c r="I18" s="26"/>
      <c r="J18" s="26"/>
      <c r="K18" s="26"/>
      <c r="L18" s="5"/>
      <c r="N18" s="31"/>
    </row>
    <row r="19" spans="1:15" ht="15.75" customHeight="1" x14ac:dyDescent="0.45">
      <c r="A19" s="32" t="s">
        <v>64</v>
      </c>
      <c r="B19" s="25"/>
      <c r="C19" s="59"/>
      <c r="D19" s="25"/>
      <c r="E19" s="25"/>
      <c r="F19" s="25"/>
      <c r="G19" s="25"/>
      <c r="H19" s="25"/>
      <c r="I19" s="26"/>
      <c r="J19" s="26"/>
      <c r="K19" s="26"/>
      <c r="L19" s="5"/>
      <c r="M19" s="118" t="s">
        <v>66</v>
      </c>
      <c r="N19" s="14" t="s">
        <v>67</v>
      </c>
      <c r="O19" s="34">
        <f>MROUND(O13,1000)</f>
        <v>1635000</v>
      </c>
    </row>
    <row r="20" spans="1:15" ht="15.75" customHeight="1" x14ac:dyDescent="0.45">
      <c r="A20" s="5" t="s">
        <v>70</v>
      </c>
      <c r="B20" s="5"/>
      <c r="C20" s="120">
        <v>25</v>
      </c>
      <c r="D20" s="5" t="s">
        <v>71</v>
      </c>
      <c r="E20" s="5"/>
      <c r="F20" s="5"/>
      <c r="G20" s="5"/>
      <c r="H20" s="5"/>
      <c r="I20" s="6"/>
      <c r="J20" s="6"/>
      <c r="K20" s="6"/>
      <c r="L20" s="5"/>
      <c r="M20" s="116"/>
      <c r="N20" s="36">
        <v>0.1</v>
      </c>
      <c r="O20" s="37">
        <f t="shared" ref="O20:O24" si="0">$O$17-($O$17*N20)</f>
        <v>1471603.7109374998</v>
      </c>
    </row>
    <row r="21" spans="1:15" ht="15.75" customHeight="1" x14ac:dyDescent="0.45">
      <c r="A21" s="5" t="s">
        <v>73</v>
      </c>
      <c r="B21" s="5"/>
      <c r="C21" s="38">
        <f>C20*2</f>
        <v>50</v>
      </c>
      <c r="D21" s="5" t="s">
        <v>71</v>
      </c>
      <c r="E21" s="5"/>
      <c r="F21" s="5"/>
      <c r="G21" s="5"/>
      <c r="H21" s="5"/>
      <c r="I21" s="6"/>
      <c r="J21" s="6"/>
      <c r="K21" s="6"/>
      <c r="L21" s="5"/>
      <c r="M21" s="116"/>
      <c r="N21" s="36">
        <v>0.2</v>
      </c>
      <c r="O21" s="37">
        <f t="shared" si="0"/>
        <v>1308092.1874999998</v>
      </c>
    </row>
    <row r="22" spans="1:15" ht="15.75" customHeight="1" x14ac:dyDescent="0.45">
      <c r="A22" s="5" t="s">
        <v>74</v>
      </c>
      <c r="B22" s="5"/>
      <c r="C22" s="120">
        <v>200</v>
      </c>
      <c r="D22" s="5" t="s">
        <v>75</v>
      </c>
      <c r="E22" s="5"/>
      <c r="F22" s="5"/>
      <c r="G22" s="5"/>
      <c r="H22" s="5"/>
      <c r="I22" s="6"/>
      <c r="J22" s="6"/>
      <c r="K22" s="6"/>
      <c r="L22" s="5"/>
      <c r="M22" s="116"/>
      <c r="N22" s="36">
        <v>0.3</v>
      </c>
      <c r="O22" s="37">
        <f t="shared" si="0"/>
        <v>1144580.6640625</v>
      </c>
    </row>
    <row r="23" spans="1:15" ht="15.75" customHeight="1" x14ac:dyDescent="0.45">
      <c r="A23" s="5" t="s">
        <v>77</v>
      </c>
      <c r="B23" s="5" t="s">
        <v>78</v>
      </c>
      <c r="C23" s="38"/>
      <c r="D23" s="5" t="s">
        <v>80</v>
      </c>
      <c r="E23" s="5"/>
      <c r="F23" s="5"/>
      <c r="G23" s="5"/>
      <c r="H23" s="5"/>
      <c r="I23" s="6"/>
      <c r="J23" s="6"/>
      <c r="K23" s="6"/>
      <c r="L23" s="5"/>
      <c r="M23" s="116"/>
      <c r="N23" s="36">
        <v>0.4</v>
      </c>
      <c r="O23" s="37">
        <f t="shared" si="0"/>
        <v>981069.14062499977</v>
      </c>
    </row>
    <row r="24" spans="1:15" ht="15.75" customHeight="1" x14ac:dyDescent="0.45">
      <c r="A24" s="5"/>
      <c r="B24" s="5" t="s">
        <v>83</v>
      </c>
      <c r="C24" s="38"/>
      <c r="D24" s="5" t="s">
        <v>80</v>
      </c>
      <c r="E24" s="5"/>
      <c r="F24" s="5"/>
      <c r="G24" s="5"/>
      <c r="H24" s="5"/>
      <c r="I24" s="6"/>
      <c r="J24" s="6"/>
      <c r="K24" s="6"/>
      <c r="L24" s="5"/>
      <c r="M24" s="117"/>
      <c r="N24" s="36">
        <v>0.5</v>
      </c>
      <c r="O24" s="37">
        <f t="shared" si="0"/>
        <v>817557.61718749988</v>
      </c>
    </row>
    <row r="25" spans="1:15" ht="14.5" x14ac:dyDescent="0.35">
      <c r="A25" s="40" t="s">
        <v>84</v>
      </c>
      <c r="B25" s="25"/>
      <c r="C25" s="59"/>
      <c r="D25" s="25"/>
      <c r="E25" s="25"/>
      <c r="F25" s="25"/>
      <c r="G25" s="25"/>
      <c r="H25" s="25"/>
      <c r="I25" s="26"/>
      <c r="J25" s="26"/>
      <c r="K25" s="26"/>
      <c r="L25" s="5"/>
      <c r="M25" s="5"/>
      <c r="N25" s="42"/>
      <c r="O25" s="43"/>
    </row>
    <row r="26" spans="1:15" ht="14.5" x14ac:dyDescent="0.35">
      <c r="A26" s="44" t="s">
        <v>12</v>
      </c>
      <c r="B26" s="25" t="s">
        <v>91</v>
      </c>
      <c r="C26" s="59"/>
      <c r="D26" s="25"/>
      <c r="E26" s="25"/>
      <c r="F26" s="25"/>
      <c r="G26" s="25"/>
      <c r="H26" s="25"/>
      <c r="I26" s="6" t="s">
        <v>92</v>
      </c>
      <c r="J26" s="6"/>
      <c r="K26" s="6">
        <f>SUM(J27:J34)</f>
        <v>420000</v>
      </c>
      <c r="L26" s="5"/>
      <c r="M26" s="5"/>
      <c r="N26" s="42"/>
      <c r="O26" s="8"/>
    </row>
    <row r="27" spans="1:15" ht="14.5" x14ac:dyDescent="0.35">
      <c r="A27" s="5" t="s">
        <v>93</v>
      </c>
      <c r="B27" s="5" t="s">
        <v>94</v>
      </c>
      <c r="C27" s="38">
        <v>0</v>
      </c>
      <c r="D27" s="5" t="s">
        <v>95</v>
      </c>
      <c r="E27" s="38">
        <f>C21</f>
        <v>50</v>
      </c>
      <c r="F27" s="5" t="s">
        <v>11</v>
      </c>
      <c r="G27" s="5"/>
      <c r="H27" s="5"/>
      <c r="I27" s="6">
        <f>'PH Umum 2024'!F1</f>
        <v>2100</v>
      </c>
      <c r="J27" s="6">
        <f t="shared" ref="J27:J34" si="1">C27*E27*I27</f>
        <v>0</v>
      </c>
      <c r="K27" s="6"/>
      <c r="L27" s="5"/>
      <c r="M27" s="5"/>
      <c r="N27" s="38"/>
      <c r="O27" s="6"/>
    </row>
    <row r="28" spans="1:15" ht="14.5" x14ac:dyDescent="0.35">
      <c r="A28" s="5"/>
      <c r="B28" s="5" t="s">
        <v>17</v>
      </c>
      <c r="C28" s="120">
        <v>1</v>
      </c>
      <c r="D28" s="5" t="s">
        <v>95</v>
      </c>
      <c r="E28" s="38">
        <f>C21</f>
        <v>50</v>
      </c>
      <c r="F28" s="5" t="s">
        <v>11</v>
      </c>
      <c r="G28" s="5"/>
      <c r="H28" s="5"/>
      <c r="I28" s="6">
        <f>'PH Umum 2024'!F13</f>
        <v>600</v>
      </c>
      <c r="J28" s="6">
        <f t="shared" si="1"/>
        <v>30000</v>
      </c>
      <c r="K28" s="6"/>
      <c r="L28" s="5"/>
      <c r="M28" s="5"/>
      <c r="N28" s="42"/>
      <c r="O28" s="43"/>
    </row>
    <row r="29" spans="1:15" ht="14.5" x14ac:dyDescent="0.35">
      <c r="A29" s="5" t="s">
        <v>96</v>
      </c>
      <c r="B29" s="5" t="s">
        <v>94</v>
      </c>
      <c r="C29" s="120">
        <v>2</v>
      </c>
      <c r="D29" s="5" t="s">
        <v>95</v>
      </c>
      <c r="E29" s="38">
        <f>C21</f>
        <v>50</v>
      </c>
      <c r="F29" s="5" t="s">
        <v>11</v>
      </c>
      <c r="G29" s="5"/>
      <c r="H29" s="5"/>
      <c r="I29" s="6">
        <f>'PH Umum 2024'!F1</f>
        <v>2100</v>
      </c>
      <c r="J29" s="6">
        <f t="shared" si="1"/>
        <v>210000</v>
      </c>
      <c r="K29" s="6"/>
      <c r="L29" s="5"/>
      <c r="M29" s="5"/>
      <c r="N29" s="38"/>
      <c r="O29" s="8"/>
    </row>
    <row r="30" spans="1:15" ht="14.5" x14ac:dyDescent="0.35">
      <c r="A30" s="5"/>
      <c r="B30" s="5" t="s">
        <v>17</v>
      </c>
      <c r="C30" s="38">
        <v>0</v>
      </c>
      <c r="D30" s="5" t="s">
        <v>95</v>
      </c>
      <c r="E30" s="38">
        <f>C21</f>
        <v>50</v>
      </c>
      <c r="F30" s="5" t="s">
        <v>11</v>
      </c>
      <c r="G30" s="5"/>
      <c r="H30" s="5"/>
      <c r="I30" s="6">
        <f>'PH Umum 2024'!F13</f>
        <v>600</v>
      </c>
      <c r="J30" s="6">
        <f t="shared" si="1"/>
        <v>0</v>
      </c>
      <c r="K30" s="6"/>
      <c r="L30" s="5"/>
      <c r="M30" s="5"/>
      <c r="N30" s="38"/>
      <c r="O30" s="6"/>
    </row>
    <row r="31" spans="1:15" ht="14.5" x14ac:dyDescent="0.35">
      <c r="A31" s="5" t="s">
        <v>98</v>
      </c>
      <c r="B31" s="5" t="s">
        <v>94</v>
      </c>
      <c r="C31" s="38">
        <v>0</v>
      </c>
      <c r="D31" s="5" t="s">
        <v>95</v>
      </c>
      <c r="E31" s="38">
        <f>C21</f>
        <v>50</v>
      </c>
      <c r="F31" s="5" t="s">
        <v>11</v>
      </c>
      <c r="G31" s="5"/>
      <c r="H31" s="5"/>
      <c r="I31" s="6">
        <f>'PH Umum 2024'!F1</f>
        <v>2100</v>
      </c>
      <c r="J31" s="6">
        <f t="shared" si="1"/>
        <v>0</v>
      </c>
      <c r="K31" s="6"/>
      <c r="L31" s="5"/>
      <c r="M31" s="5"/>
      <c r="N31" s="42"/>
      <c r="O31" s="43"/>
    </row>
    <row r="32" spans="1:15" ht="14.5" x14ac:dyDescent="0.35">
      <c r="A32" s="5"/>
      <c r="B32" s="5" t="s">
        <v>17</v>
      </c>
      <c r="C32" s="38">
        <v>0</v>
      </c>
      <c r="D32" s="5" t="s">
        <v>95</v>
      </c>
      <c r="E32" s="38">
        <f>C21</f>
        <v>50</v>
      </c>
      <c r="F32" s="5" t="s">
        <v>11</v>
      </c>
      <c r="G32" s="5"/>
      <c r="H32" s="5"/>
      <c r="I32" s="6">
        <f>'PH Umum 2024'!F13</f>
        <v>600</v>
      </c>
      <c r="J32" s="6">
        <f t="shared" si="1"/>
        <v>0</v>
      </c>
      <c r="K32" s="6"/>
      <c r="L32" s="5"/>
      <c r="M32" s="5"/>
      <c r="N32" s="38"/>
      <c r="O32" s="8"/>
    </row>
    <row r="33" spans="1:15" ht="14.5" x14ac:dyDescent="0.35">
      <c r="A33" s="5" t="s">
        <v>99</v>
      </c>
      <c r="B33" s="5" t="s">
        <v>94</v>
      </c>
      <c r="C33" s="38">
        <v>0</v>
      </c>
      <c r="D33" s="5" t="s">
        <v>95</v>
      </c>
      <c r="E33" s="38">
        <f>C21</f>
        <v>50</v>
      </c>
      <c r="F33" s="5" t="s">
        <v>11</v>
      </c>
      <c r="G33" s="5"/>
      <c r="H33" s="5"/>
      <c r="I33" s="6">
        <f>'PH Umum 2024'!F1</f>
        <v>2100</v>
      </c>
      <c r="J33" s="6">
        <f t="shared" si="1"/>
        <v>0</v>
      </c>
      <c r="K33" s="6"/>
      <c r="L33" s="5"/>
      <c r="N33" s="31"/>
    </row>
    <row r="34" spans="1:15" ht="14.5" x14ac:dyDescent="0.35">
      <c r="A34" s="5"/>
      <c r="B34" s="5" t="s">
        <v>17</v>
      </c>
      <c r="C34" s="120">
        <v>6</v>
      </c>
      <c r="D34" s="5" t="s">
        <v>95</v>
      </c>
      <c r="E34" s="38">
        <f>C21</f>
        <v>50</v>
      </c>
      <c r="F34" s="5" t="s">
        <v>11</v>
      </c>
      <c r="G34" s="5"/>
      <c r="H34" s="5"/>
      <c r="I34" s="6">
        <f>'PH Umum 2024'!F13</f>
        <v>600</v>
      </c>
      <c r="J34" s="6">
        <f t="shared" si="1"/>
        <v>180000</v>
      </c>
      <c r="K34" s="6"/>
      <c r="L34" s="5"/>
      <c r="N34" s="31"/>
    </row>
    <row r="35" spans="1:15" ht="14.5" x14ac:dyDescent="0.35">
      <c r="A35" s="5"/>
      <c r="B35" s="5"/>
      <c r="C35" s="38"/>
      <c r="D35" s="5"/>
      <c r="E35" s="5"/>
      <c r="F35" s="5"/>
      <c r="G35" s="5"/>
      <c r="H35" s="5"/>
      <c r="I35" s="6"/>
      <c r="J35" s="6"/>
      <c r="K35" s="6"/>
      <c r="L35" s="5"/>
      <c r="N35" s="31"/>
    </row>
    <row r="36" spans="1:15" ht="14.5" x14ac:dyDescent="0.35">
      <c r="A36" s="5"/>
      <c r="B36" s="5"/>
      <c r="C36" s="38"/>
      <c r="D36" s="5"/>
      <c r="E36" s="5"/>
      <c r="F36" s="5"/>
      <c r="G36" s="5"/>
      <c r="H36" s="5"/>
      <c r="I36" s="6"/>
      <c r="J36" s="6"/>
      <c r="K36" s="6"/>
      <c r="L36" s="5"/>
      <c r="N36" s="31"/>
    </row>
    <row r="37" spans="1:15" ht="14.5" x14ac:dyDescent="0.35">
      <c r="A37" s="5"/>
      <c r="B37" s="5"/>
      <c r="C37" s="38"/>
      <c r="D37" s="5"/>
      <c r="E37" s="5"/>
      <c r="F37" s="5"/>
      <c r="G37" s="5"/>
      <c r="H37" s="5"/>
      <c r="I37" s="6"/>
      <c r="J37" s="6"/>
      <c r="K37" s="6"/>
      <c r="L37" s="5"/>
      <c r="N37" s="31"/>
    </row>
    <row r="38" spans="1:15" ht="14.5" x14ac:dyDescent="0.35">
      <c r="A38" s="46" t="s">
        <v>15</v>
      </c>
      <c r="B38" s="5" t="s">
        <v>91</v>
      </c>
      <c r="C38" s="38"/>
      <c r="D38" s="5"/>
      <c r="E38" s="5"/>
      <c r="F38" s="5"/>
      <c r="G38" s="5"/>
      <c r="H38" s="5"/>
      <c r="I38" s="6" t="s">
        <v>92</v>
      </c>
      <c r="J38" s="6"/>
      <c r="K38" s="6">
        <f>SUM(J39:J47)</f>
        <v>202901.04166666666</v>
      </c>
      <c r="L38" s="5"/>
      <c r="N38" s="31"/>
    </row>
    <row r="39" spans="1:15" ht="14.5" x14ac:dyDescent="0.35">
      <c r="A39" s="5" t="s">
        <v>93</v>
      </c>
      <c r="B39" s="5" t="s">
        <v>94</v>
      </c>
      <c r="C39" s="38">
        <v>0</v>
      </c>
      <c r="D39" s="5" t="s">
        <v>95</v>
      </c>
      <c r="E39" s="38">
        <v>0</v>
      </c>
      <c r="F39" s="5" t="s">
        <v>100</v>
      </c>
      <c r="G39" s="38">
        <v>0</v>
      </c>
      <c r="H39" s="5" t="s">
        <v>49</v>
      </c>
      <c r="I39" s="6">
        <f>'PH Umum 2024'!F25</f>
        <v>29229.166666666668</v>
      </c>
      <c r="J39" s="6">
        <f t="shared" ref="J39:J46" si="2">C39*E39*G39*I39</f>
        <v>0</v>
      </c>
      <c r="K39" s="6"/>
      <c r="L39" s="5"/>
      <c r="N39" s="31"/>
    </row>
    <row r="40" spans="1:15" ht="14.5" x14ac:dyDescent="0.35">
      <c r="A40" s="5"/>
      <c r="B40" s="5" t="s">
        <v>17</v>
      </c>
      <c r="C40" s="120">
        <v>1</v>
      </c>
      <c r="D40" s="5" t="s">
        <v>95</v>
      </c>
      <c r="E40" s="120">
        <v>1</v>
      </c>
      <c r="F40" s="5" t="s">
        <v>100</v>
      </c>
      <c r="G40" s="120">
        <v>1</v>
      </c>
      <c r="H40" s="5" t="s">
        <v>49</v>
      </c>
      <c r="I40" s="6">
        <f>'PH Umum 2024'!F25</f>
        <v>29229.166666666668</v>
      </c>
      <c r="J40" s="6">
        <f t="shared" si="2"/>
        <v>29229.166666666668</v>
      </c>
      <c r="K40" s="6"/>
      <c r="L40" s="5"/>
      <c r="N40" s="31"/>
    </row>
    <row r="41" spans="1:15" ht="14.5" x14ac:dyDescent="0.35">
      <c r="A41" s="5" t="s">
        <v>96</v>
      </c>
      <c r="B41" s="5" t="s">
        <v>94</v>
      </c>
      <c r="C41" s="120">
        <v>2</v>
      </c>
      <c r="D41" s="5" t="s">
        <v>95</v>
      </c>
      <c r="E41" s="120">
        <v>0</v>
      </c>
      <c r="F41" s="5" t="s">
        <v>100</v>
      </c>
      <c r="G41" s="120">
        <v>8</v>
      </c>
      <c r="H41" s="5" t="s">
        <v>49</v>
      </c>
      <c r="I41" s="6">
        <f>'PH Umum 2024'!F37</f>
        <v>28903.645833333332</v>
      </c>
      <c r="J41" s="6">
        <f t="shared" si="2"/>
        <v>0</v>
      </c>
      <c r="K41" s="6"/>
      <c r="L41" s="5"/>
      <c r="N41" s="31"/>
    </row>
    <row r="42" spans="1:15" ht="14.5" x14ac:dyDescent="0.35">
      <c r="A42" s="5"/>
      <c r="B42" s="5" t="s">
        <v>17</v>
      </c>
      <c r="C42" s="38">
        <v>0</v>
      </c>
      <c r="D42" s="5" t="s">
        <v>95</v>
      </c>
      <c r="E42" s="38">
        <v>0</v>
      </c>
      <c r="F42" s="5" t="s">
        <v>100</v>
      </c>
      <c r="G42" s="38">
        <v>0</v>
      </c>
      <c r="H42" s="5" t="s">
        <v>49</v>
      </c>
      <c r="I42" s="6">
        <f>'PH Umum 2024'!F37</f>
        <v>28903.645833333332</v>
      </c>
      <c r="J42" s="6">
        <f t="shared" si="2"/>
        <v>0</v>
      </c>
      <c r="K42" s="6"/>
      <c r="L42" s="5"/>
      <c r="N42" s="31"/>
    </row>
    <row r="43" spans="1:15" ht="14.5" x14ac:dyDescent="0.35">
      <c r="A43" s="5" t="s">
        <v>98</v>
      </c>
      <c r="B43" s="5" t="s">
        <v>94</v>
      </c>
      <c r="C43" s="38">
        <v>0</v>
      </c>
      <c r="D43" s="5" t="s">
        <v>95</v>
      </c>
      <c r="E43" s="38">
        <v>0</v>
      </c>
      <c r="F43" s="5" t="s">
        <v>100</v>
      </c>
      <c r="G43" s="38">
        <v>0</v>
      </c>
      <c r="H43" s="5" t="s">
        <v>49</v>
      </c>
      <c r="I43" s="6">
        <f>'PH Umum 2024'!F49</f>
        <v>29451.822916666664</v>
      </c>
      <c r="J43" s="6">
        <f t="shared" si="2"/>
        <v>0</v>
      </c>
      <c r="K43" s="6"/>
      <c r="L43" s="5"/>
      <c r="N43" s="31"/>
    </row>
    <row r="44" spans="1:15" ht="14.5" x14ac:dyDescent="0.35">
      <c r="A44" s="5"/>
      <c r="B44" s="5" t="s">
        <v>17</v>
      </c>
      <c r="C44" s="38">
        <v>0</v>
      </c>
      <c r="D44" s="5" t="s">
        <v>95</v>
      </c>
      <c r="E44" s="38">
        <v>0</v>
      </c>
      <c r="F44" s="5" t="s">
        <v>100</v>
      </c>
      <c r="G44" s="38">
        <v>0</v>
      </c>
      <c r="H44" s="5" t="s">
        <v>49</v>
      </c>
      <c r="I44" s="6">
        <f>'PH Umum 2024'!F49</f>
        <v>29451.822916666664</v>
      </c>
      <c r="J44" s="6">
        <f t="shared" si="2"/>
        <v>0</v>
      </c>
      <c r="K44" s="6"/>
      <c r="L44" s="5"/>
      <c r="N44" s="31"/>
    </row>
    <row r="45" spans="1:15" ht="14.5" x14ac:dyDescent="0.35">
      <c r="A45" s="5" t="s">
        <v>99</v>
      </c>
      <c r="B45" s="5" t="s">
        <v>94</v>
      </c>
      <c r="C45" s="38">
        <v>0</v>
      </c>
      <c r="D45" s="5" t="s">
        <v>95</v>
      </c>
      <c r="E45" s="38">
        <v>0</v>
      </c>
      <c r="F45" s="5" t="s">
        <v>100</v>
      </c>
      <c r="G45" s="38">
        <v>0</v>
      </c>
      <c r="H45" s="5" t="s">
        <v>49</v>
      </c>
      <c r="I45" s="6">
        <f>'PH Umum 2024'!F61</f>
        <v>28945.3125</v>
      </c>
      <c r="J45" s="6">
        <f t="shared" si="2"/>
        <v>0</v>
      </c>
      <c r="K45" s="6"/>
      <c r="L45" s="5"/>
      <c r="N45" s="31"/>
    </row>
    <row r="46" spans="1:15" ht="14.5" x14ac:dyDescent="0.35">
      <c r="A46" s="5"/>
      <c r="B46" s="5" t="s">
        <v>17</v>
      </c>
      <c r="C46" s="120">
        <v>6</v>
      </c>
      <c r="D46" s="5" t="s">
        <v>95</v>
      </c>
      <c r="E46" s="120">
        <v>1</v>
      </c>
      <c r="F46" s="5" t="s">
        <v>100</v>
      </c>
      <c r="G46" s="120">
        <v>1</v>
      </c>
      <c r="H46" s="5" t="s">
        <v>49</v>
      </c>
      <c r="I46" s="6">
        <f>'PH Umum 2024'!F61</f>
        <v>28945.3125</v>
      </c>
      <c r="J46" s="6">
        <f t="shared" si="2"/>
        <v>173671.875</v>
      </c>
      <c r="K46" s="6"/>
      <c r="L46" s="5"/>
      <c r="N46" s="31"/>
    </row>
    <row r="47" spans="1:15" ht="14.5" x14ac:dyDescent="0.35">
      <c r="A47" s="5" t="s">
        <v>53</v>
      </c>
      <c r="B47" s="5"/>
      <c r="C47" s="38"/>
      <c r="D47" s="5"/>
      <c r="E47" s="38">
        <v>0</v>
      </c>
      <c r="F47" s="5" t="s">
        <v>100</v>
      </c>
      <c r="G47" s="5"/>
      <c r="H47" s="5"/>
      <c r="I47" s="6">
        <v>2200000</v>
      </c>
      <c r="J47" s="6">
        <f>E47*I47</f>
        <v>0</v>
      </c>
      <c r="K47" s="6"/>
      <c r="L47" s="5"/>
      <c r="M47" s="5"/>
      <c r="N47" s="38"/>
      <c r="O47" s="6"/>
    </row>
    <row r="48" spans="1:15" ht="14.5" x14ac:dyDescent="0.35">
      <c r="A48" s="5"/>
      <c r="B48" s="5"/>
      <c r="C48" s="38"/>
      <c r="D48" s="5"/>
      <c r="E48" s="5"/>
      <c r="F48" s="5"/>
      <c r="G48" s="5"/>
      <c r="H48" s="5"/>
      <c r="I48" s="6"/>
      <c r="J48" s="6"/>
      <c r="K48" s="6"/>
      <c r="L48" s="5"/>
      <c r="M48" s="5"/>
      <c r="N48" s="38"/>
      <c r="O48" s="6"/>
    </row>
    <row r="49" spans="1:15" ht="14.5" x14ac:dyDescent="0.35">
      <c r="A49" s="5"/>
      <c r="B49" s="5"/>
      <c r="C49" s="38"/>
      <c r="D49" s="5"/>
      <c r="E49" s="5"/>
      <c r="F49" s="5"/>
      <c r="G49" s="5"/>
      <c r="H49" s="5"/>
      <c r="I49" s="6"/>
      <c r="J49" s="6"/>
      <c r="K49" s="6"/>
      <c r="L49" s="5"/>
      <c r="M49" s="5"/>
      <c r="N49" s="38"/>
      <c r="O49" s="6"/>
    </row>
    <row r="50" spans="1:15" ht="14.5" x14ac:dyDescent="0.35">
      <c r="A50" s="5"/>
      <c r="B50" s="5"/>
      <c r="C50" s="38"/>
      <c r="D50" s="5"/>
      <c r="E50" s="5"/>
      <c r="F50" s="5"/>
      <c r="G50" s="5"/>
      <c r="H50" s="5"/>
      <c r="I50" s="6"/>
      <c r="J50" s="6"/>
      <c r="K50" s="6"/>
      <c r="L50" s="5"/>
      <c r="M50" s="5"/>
      <c r="N50" s="38"/>
      <c r="O50" s="6"/>
    </row>
    <row r="51" spans="1:15" ht="14.5" x14ac:dyDescent="0.35">
      <c r="A51" s="46" t="s">
        <v>18</v>
      </c>
      <c r="B51" s="5"/>
      <c r="C51" s="38"/>
      <c r="D51" s="5"/>
      <c r="E51" s="5"/>
      <c r="F51" s="5"/>
      <c r="G51" s="5"/>
      <c r="H51" s="5"/>
      <c r="I51" s="6" t="s">
        <v>92</v>
      </c>
      <c r="J51" s="6"/>
      <c r="K51" s="6">
        <f>SUM(J52:J59)</f>
        <v>0</v>
      </c>
      <c r="L51" s="5"/>
      <c r="M51" s="5"/>
      <c r="N51" s="38"/>
      <c r="O51" s="6"/>
    </row>
    <row r="52" spans="1:15" ht="14.5" x14ac:dyDescent="0.35">
      <c r="A52" s="5" t="s">
        <v>93</v>
      </c>
      <c r="B52" s="5" t="s">
        <v>94</v>
      </c>
      <c r="C52" s="38">
        <v>0</v>
      </c>
      <c r="D52" s="5" t="s">
        <v>95</v>
      </c>
      <c r="E52" s="52">
        <v>0</v>
      </c>
      <c r="F52" s="5" t="s">
        <v>49</v>
      </c>
      <c r="G52" s="5"/>
      <c r="H52" s="5"/>
      <c r="I52" s="6" t="s">
        <v>101</v>
      </c>
      <c r="J52" s="6" t="s">
        <v>101</v>
      </c>
      <c r="K52" s="6"/>
      <c r="L52" s="5"/>
      <c r="M52" s="5"/>
      <c r="N52" s="38"/>
      <c r="O52" s="6"/>
    </row>
    <row r="53" spans="1:15" ht="14.5" x14ac:dyDescent="0.35">
      <c r="A53" s="5"/>
      <c r="B53" s="5" t="s">
        <v>17</v>
      </c>
      <c r="C53" s="38">
        <v>0</v>
      </c>
      <c r="D53" s="5" t="s">
        <v>95</v>
      </c>
      <c r="E53" s="52">
        <v>0</v>
      </c>
      <c r="F53" s="5" t="s">
        <v>49</v>
      </c>
      <c r="G53" s="5"/>
      <c r="H53" s="5"/>
      <c r="I53" s="6" t="s">
        <v>101</v>
      </c>
      <c r="J53" s="6" t="s">
        <v>101</v>
      </c>
      <c r="K53" s="6"/>
      <c r="L53" s="5"/>
      <c r="M53" s="5"/>
      <c r="N53" s="38"/>
      <c r="O53" s="6"/>
    </row>
    <row r="54" spans="1:15" ht="14.5" x14ac:dyDescent="0.35">
      <c r="A54" s="5" t="s">
        <v>96</v>
      </c>
      <c r="B54" s="5" t="s">
        <v>94</v>
      </c>
      <c r="C54" s="38">
        <v>0</v>
      </c>
      <c r="D54" s="5" t="s">
        <v>95</v>
      </c>
      <c r="E54" s="52">
        <v>0</v>
      </c>
      <c r="F54" s="5" t="s">
        <v>49</v>
      </c>
      <c r="G54" s="5"/>
      <c r="H54" s="5"/>
      <c r="I54" s="6" t="s">
        <v>101</v>
      </c>
      <c r="J54" s="6" t="s">
        <v>101</v>
      </c>
      <c r="K54" s="6"/>
      <c r="L54" s="5"/>
      <c r="M54" s="5"/>
      <c r="N54" s="38"/>
      <c r="O54" s="6"/>
    </row>
    <row r="55" spans="1:15" ht="14.5" x14ac:dyDescent="0.35">
      <c r="A55" s="5"/>
      <c r="B55" s="5" t="s">
        <v>17</v>
      </c>
      <c r="C55" s="38">
        <v>0</v>
      </c>
      <c r="D55" s="5" t="s">
        <v>95</v>
      </c>
      <c r="E55" s="52">
        <v>0</v>
      </c>
      <c r="F55" s="5" t="s">
        <v>49</v>
      </c>
      <c r="G55" s="5"/>
      <c r="H55" s="5"/>
      <c r="I55" s="6" t="s">
        <v>101</v>
      </c>
      <c r="J55" s="6" t="s">
        <v>101</v>
      </c>
      <c r="K55" s="6"/>
      <c r="L55" s="5"/>
      <c r="M55" s="5"/>
      <c r="N55" s="38"/>
      <c r="O55" s="6"/>
    </row>
    <row r="56" spans="1:15" ht="14.5" x14ac:dyDescent="0.35">
      <c r="A56" s="5" t="s">
        <v>98</v>
      </c>
      <c r="B56" s="5" t="s">
        <v>94</v>
      </c>
      <c r="C56" s="38">
        <v>0</v>
      </c>
      <c r="D56" s="5" t="s">
        <v>95</v>
      </c>
      <c r="E56" s="52">
        <v>0</v>
      </c>
      <c r="F56" s="5" t="s">
        <v>49</v>
      </c>
      <c r="G56" s="5"/>
      <c r="H56" s="5"/>
      <c r="I56" s="6" t="s">
        <v>101</v>
      </c>
      <c r="J56" s="6" t="s">
        <v>101</v>
      </c>
      <c r="K56" s="6"/>
      <c r="L56" s="5"/>
      <c r="M56" s="5"/>
      <c r="N56" s="38"/>
      <c r="O56" s="6"/>
    </row>
    <row r="57" spans="1:15" ht="14.5" x14ac:dyDescent="0.35">
      <c r="A57" s="5"/>
      <c r="B57" s="5" t="s">
        <v>17</v>
      </c>
      <c r="C57" s="38">
        <v>0</v>
      </c>
      <c r="D57" s="5" t="s">
        <v>95</v>
      </c>
      <c r="E57" s="52">
        <v>0</v>
      </c>
      <c r="F57" s="5" t="s">
        <v>49</v>
      </c>
      <c r="G57" s="5"/>
      <c r="H57" s="5"/>
      <c r="I57" s="6" t="s">
        <v>101</v>
      </c>
      <c r="J57" s="6" t="s">
        <v>101</v>
      </c>
      <c r="K57" s="6"/>
      <c r="L57" s="5"/>
      <c r="M57" s="5"/>
      <c r="N57" s="38"/>
      <c r="O57" s="6"/>
    </row>
    <row r="58" spans="1:15" ht="14.5" x14ac:dyDescent="0.35">
      <c r="A58" s="5" t="s">
        <v>99</v>
      </c>
      <c r="B58" s="5" t="s">
        <v>94</v>
      </c>
      <c r="C58" s="38">
        <v>0</v>
      </c>
      <c r="D58" s="5" t="s">
        <v>95</v>
      </c>
      <c r="E58" s="52">
        <v>0</v>
      </c>
      <c r="F58" s="5" t="s">
        <v>49</v>
      </c>
      <c r="G58" s="5"/>
      <c r="H58" s="5"/>
      <c r="I58" s="6" t="s">
        <v>101</v>
      </c>
      <c r="J58" s="6" t="s">
        <v>101</v>
      </c>
      <c r="K58" s="6"/>
      <c r="L58" s="5"/>
      <c r="M58" s="5"/>
      <c r="N58" s="38"/>
      <c r="O58" s="6"/>
    </row>
    <row r="59" spans="1:15" ht="14.5" x14ac:dyDescent="0.35">
      <c r="A59" s="5"/>
      <c r="B59" s="5" t="s">
        <v>17</v>
      </c>
      <c r="C59" s="38">
        <v>0</v>
      </c>
      <c r="D59" s="5" t="s">
        <v>95</v>
      </c>
      <c r="E59" s="52">
        <v>0</v>
      </c>
      <c r="F59" s="5" t="s">
        <v>49</v>
      </c>
      <c r="G59" s="5"/>
      <c r="H59" s="5"/>
      <c r="I59" s="6" t="s">
        <v>101</v>
      </c>
      <c r="J59" s="6" t="s">
        <v>101</v>
      </c>
      <c r="K59" s="6"/>
      <c r="L59" s="5"/>
      <c r="M59" s="5"/>
      <c r="N59" s="38"/>
      <c r="O59" s="6"/>
    </row>
    <row r="60" spans="1:15" ht="14.5" x14ac:dyDescent="0.35">
      <c r="A60" s="5"/>
      <c r="B60" s="5"/>
      <c r="C60" s="38"/>
      <c r="D60" s="5"/>
      <c r="E60" s="5"/>
      <c r="F60" s="5"/>
      <c r="G60" s="5"/>
      <c r="H60" s="5"/>
      <c r="I60" s="6"/>
      <c r="J60" s="6"/>
      <c r="K60" s="6"/>
      <c r="L60" s="5"/>
      <c r="M60" s="5"/>
      <c r="N60" s="38"/>
      <c r="O60" s="6"/>
    </row>
    <row r="61" spans="1:15" ht="14.5" x14ac:dyDescent="0.35">
      <c r="A61" s="5"/>
      <c r="B61" s="5"/>
      <c r="C61" s="38"/>
      <c r="D61" s="5"/>
      <c r="E61" s="5"/>
      <c r="F61" s="5"/>
      <c r="G61" s="5"/>
      <c r="H61" s="5"/>
      <c r="I61" s="6"/>
      <c r="J61" s="6"/>
      <c r="K61" s="6"/>
      <c r="L61" s="5"/>
      <c r="M61" s="5"/>
      <c r="N61" s="38"/>
      <c r="O61" s="6"/>
    </row>
    <row r="62" spans="1:15" ht="14.5" x14ac:dyDescent="0.35">
      <c r="A62" s="5"/>
      <c r="B62" s="5"/>
      <c r="C62" s="38"/>
      <c r="D62" s="5"/>
      <c r="E62" s="5"/>
      <c r="F62" s="5"/>
      <c r="G62" s="5"/>
      <c r="H62" s="5"/>
      <c r="I62" s="6"/>
      <c r="J62" s="6"/>
      <c r="K62" s="6"/>
      <c r="L62" s="5"/>
      <c r="M62" s="5"/>
      <c r="N62" s="38"/>
      <c r="O62" s="6"/>
    </row>
    <row r="63" spans="1:15" ht="14.5" x14ac:dyDescent="0.35">
      <c r="A63" s="47" t="s">
        <v>102</v>
      </c>
      <c r="B63" s="5"/>
      <c r="C63" s="38"/>
      <c r="D63" s="5"/>
      <c r="E63" s="5"/>
      <c r="F63" s="5"/>
      <c r="G63" s="5"/>
      <c r="H63" s="5"/>
      <c r="I63" s="6"/>
      <c r="J63" s="6"/>
      <c r="K63" s="6"/>
      <c r="L63" s="5"/>
      <c r="M63" s="5"/>
      <c r="N63" s="38"/>
      <c r="O63" s="5"/>
    </row>
    <row r="64" spans="1:15" ht="14.5" x14ac:dyDescent="0.35">
      <c r="A64" s="46" t="s">
        <v>103</v>
      </c>
      <c r="B64" s="5"/>
      <c r="C64" s="38"/>
      <c r="D64" s="5"/>
      <c r="E64" s="5"/>
      <c r="F64" s="5"/>
      <c r="G64" s="5"/>
      <c r="H64" s="5"/>
      <c r="I64" s="6" t="s">
        <v>92</v>
      </c>
      <c r="J64" s="6"/>
      <c r="K64" s="6"/>
      <c r="L64" s="5"/>
      <c r="M64" s="5"/>
      <c r="N64" s="38"/>
      <c r="O64" s="5"/>
    </row>
    <row r="65" spans="1:15" ht="16.5" x14ac:dyDescent="0.55000000000000004">
      <c r="A65" s="5"/>
      <c r="B65" s="5" t="str">
        <f>'PH TC 2024'!A1</f>
        <v>Premise Soil Treatent per Liter Larutan</v>
      </c>
      <c r="C65" s="38">
        <v>0</v>
      </c>
      <c r="D65" s="5" t="s">
        <v>105</v>
      </c>
      <c r="E65" s="5"/>
      <c r="F65" s="5"/>
      <c r="G65" s="5"/>
      <c r="H65" s="5"/>
      <c r="I65" s="6">
        <f>'PH TC 2024'!F1</f>
        <v>3678.0729166666665</v>
      </c>
      <c r="J65" s="6">
        <f t="shared" ref="J65:J91" si="3">I65*C65</f>
        <v>0</v>
      </c>
      <c r="K65" s="6">
        <f>SUM(J65:J91)</f>
        <v>0</v>
      </c>
      <c r="L65" s="50"/>
      <c r="M65" s="5" t="s">
        <v>347</v>
      </c>
      <c r="N65" s="38"/>
      <c r="O65" s="5"/>
    </row>
    <row r="66" spans="1:15" ht="16.5" x14ac:dyDescent="0.55000000000000004">
      <c r="A66" s="5"/>
      <c r="B66" s="5" t="str">
        <f>'PH TC 2024'!A13</f>
        <v>Agenda Soil Treatent per Liter Larutan</v>
      </c>
      <c r="C66" s="38">
        <v>0</v>
      </c>
      <c r="D66" s="5" t="s">
        <v>105</v>
      </c>
      <c r="E66" s="5"/>
      <c r="F66" s="5"/>
      <c r="G66" s="5"/>
      <c r="H66" s="5"/>
      <c r="I66" s="6">
        <f>'PH TC 2024'!F13</f>
        <v>5028.072916666667</v>
      </c>
      <c r="J66" s="6">
        <f t="shared" si="3"/>
        <v>0</v>
      </c>
      <c r="K66" s="6"/>
      <c r="L66" s="50"/>
      <c r="M66" s="5">
        <f>C22*5/100*80</f>
        <v>800</v>
      </c>
      <c r="N66" s="38"/>
      <c r="O66" s="5"/>
    </row>
    <row r="67" spans="1:15" ht="16.5" x14ac:dyDescent="0.55000000000000004">
      <c r="A67" s="5"/>
      <c r="B67" s="5" t="str">
        <f>'PH TC 2024'!A25</f>
        <v>Xterm AG Station</v>
      </c>
      <c r="C67" s="38">
        <v>0</v>
      </c>
      <c r="D67" s="5" t="s">
        <v>105</v>
      </c>
      <c r="E67" s="5"/>
      <c r="F67" s="5"/>
      <c r="G67" s="5"/>
      <c r="H67" s="5"/>
      <c r="I67" s="6">
        <f>'PH TC 2024'!F25</f>
        <v>1735134.548611111</v>
      </c>
      <c r="J67" s="6">
        <f t="shared" si="3"/>
        <v>0</v>
      </c>
      <c r="K67" s="6"/>
      <c r="L67" s="50"/>
      <c r="M67" s="5"/>
      <c r="N67" s="38"/>
      <c r="O67" s="5"/>
    </row>
    <row r="68" spans="1:15" ht="16.5" x14ac:dyDescent="0.55000000000000004">
      <c r="A68" s="5"/>
      <c r="B68" s="5" t="str">
        <f>'PH TC 2024'!A37</f>
        <v>Xterm IG Station</v>
      </c>
      <c r="C68" s="38">
        <v>0</v>
      </c>
      <c r="D68" s="5" t="s">
        <v>105</v>
      </c>
      <c r="E68" s="5"/>
      <c r="F68" s="5"/>
      <c r="G68" s="5"/>
      <c r="H68" s="5"/>
      <c r="I68" s="6">
        <f>'PH TC 2024'!F37</f>
        <v>1769451.8229166667</v>
      </c>
      <c r="J68" s="6">
        <f t="shared" si="3"/>
        <v>0</v>
      </c>
      <c r="K68" s="6"/>
      <c r="L68" s="50"/>
      <c r="M68" s="5"/>
      <c r="N68" s="38"/>
      <c r="O68" s="5"/>
    </row>
    <row r="69" spans="1:15" ht="16.5" x14ac:dyDescent="0.55000000000000004">
      <c r="A69" s="5"/>
      <c r="B69" s="5" t="str">
        <f>'PH TC 2024'!A49</f>
        <v>Agenda Wood Treatent per Liter Larutan</v>
      </c>
      <c r="C69" s="38">
        <v>0</v>
      </c>
      <c r="D69" s="5" t="s">
        <v>105</v>
      </c>
      <c r="E69" s="5"/>
      <c r="F69" s="5"/>
      <c r="G69" s="5"/>
      <c r="H69" s="5"/>
      <c r="I69" s="6">
        <f>'PH TC 2024'!F49</f>
        <v>1130</v>
      </c>
      <c r="J69" s="6">
        <f t="shared" si="3"/>
        <v>0</v>
      </c>
      <c r="K69" s="6"/>
      <c r="L69" s="50"/>
      <c r="M69" s="5"/>
      <c r="N69" s="38"/>
      <c r="O69" s="5"/>
    </row>
    <row r="70" spans="1:15" ht="16.5" x14ac:dyDescent="0.55000000000000004">
      <c r="A70" s="5"/>
      <c r="B70" s="5" t="str">
        <f>'PH TC 2024'!A61</f>
        <v>Queen Killer</v>
      </c>
      <c r="C70" s="38">
        <v>0</v>
      </c>
      <c r="D70" s="5" t="s">
        <v>105</v>
      </c>
      <c r="E70" s="5"/>
      <c r="F70" s="5"/>
      <c r="G70" s="5"/>
      <c r="H70" s="5"/>
      <c r="I70" s="6">
        <f>'PH TC 2024'!F61</f>
        <v>709634.54861111112</v>
      </c>
      <c r="J70" s="6">
        <f t="shared" si="3"/>
        <v>0</v>
      </c>
      <c r="K70" s="6"/>
      <c r="L70" s="50"/>
      <c r="M70" s="5"/>
      <c r="N70" s="38"/>
      <c r="O70" s="5"/>
    </row>
    <row r="71" spans="1:15" ht="16.5" x14ac:dyDescent="0.55000000000000004">
      <c r="A71" s="5"/>
      <c r="B71" s="5" t="str">
        <f>'PH TC 2024'!A73</f>
        <v>N/A</v>
      </c>
      <c r="C71" s="38">
        <v>0</v>
      </c>
      <c r="D71" s="5" t="s">
        <v>105</v>
      </c>
      <c r="E71" s="5"/>
      <c r="F71" s="5"/>
      <c r="G71" s="5"/>
      <c r="H71" s="5"/>
      <c r="I71" s="6">
        <f>'PH TC 2024'!F73</f>
        <v>0</v>
      </c>
      <c r="J71" s="6">
        <f t="shared" si="3"/>
        <v>0</v>
      </c>
      <c r="K71" s="6"/>
      <c r="L71" s="50"/>
      <c r="M71" s="5"/>
      <c r="N71" s="38"/>
      <c r="O71" s="5"/>
    </row>
    <row r="72" spans="1:15" ht="16.5" x14ac:dyDescent="0.55000000000000004">
      <c r="A72" s="5"/>
      <c r="B72" s="5" t="str">
        <f>'PH TC 2024'!A85</f>
        <v>N/A</v>
      </c>
      <c r="C72" s="38">
        <v>0</v>
      </c>
      <c r="D72" s="5" t="s">
        <v>105</v>
      </c>
      <c r="E72" s="5"/>
      <c r="F72" s="5"/>
      <c r="G72" s="5"/>
      <c r="H72" s="5"/>
      <c r="I72" s="6">
        <f>'PH TC 2024'!F85</f>
        <v>0</v>
      </c>
      <c r="J72" s="6">
        <f t="shared" si="3"/>
        <v>0</v>
      </c>
      <c r="K72" s="6"/>
      <c r="L72" s="50"/>
      <c r="M72" s="5"/>
      <c r="N72" s="38"/>
      <c r="O72" s="5"/>
    </row>
    <row r="73" spans="1:15" ht="16.5" x14ac:dyDescent="0.55000000000000004">
      <c r="A73" s="5"/>
      <c r="B73" s="5" t="str">
        <f>'PH TC 2024'!A97</f>
        <v>Mata Bor kayu 2mm</v>
      </c>
      <c r="C73" s="38">
        <v>0</v>
      </c>
      <c r="D73" s="5" t="s">
        <v>105</v>
      </c>
      <c r="E73" s="5"/>
      <c r="F73" s="5"/>
      <c r="G73" s="5"/>
      <c r="H73" s="5"/>
      <c r="I73" s="6">
        <f>'PH TC 2024'!F97</f>
        <v>2500</v>
      </c>
      <c r="J73" s="6">
        <f t="shared" si="3"/>
        <v>0</v>
      </c>
      <c r="K73" s="6"/>
      <c r="L73" s="50"/>
      <c r="M73" s="5"/>
      <c r="N73" s="38"/>
      <c r="O73" s="5"/>
    </row>
    <row r="74" spans="1:15" ht="16.5" x14ac:dyDescent="0.55000000000000004">
      <c r="A74" s="5"/>
      <c r="B74" s="5" t="str">
        <f>'PH TC 2024'!A109</f>
        <v>Mata Bor kayu 3mm</v>
      </c>
      <c r="C74" s="38">
        <v>0</v>
      </c>
      <c r="D74" s="5" t="s">
        <v>105</v>
      </c>
      <c r="E74" s="5"/>
      <c r="F74" s="5"/>
      <c r="G74" s="5"/>
      <c r="H74" s="5"/>
      <c r="I74" s="6">
        <f>'PH TC 2024'!F109</f>
        <v>2500</v>
      </c>
      <c r="J74" s="6">
        <f t="shared" si="3"/>
        <v>0</v>
      </c>
      <c r="K74" s="6"/>
      <c r="L74" s="50"/>
      <c r="M74" s="5"/>
      <c r="N74" s="38"/>
      <c r="O74" s="5"/>
    </row>
    <row r="75" spans="1:15" ht="16.5" x14ac:dyDescent="0.55000000000000004">
      <c r="A75" s="5"/>
      <c r="B75" s="5" t="str">
        <f>'PH TC 2024'!A121</f>
        <v>N/A</v>
      </c>
      <c r="C75" s="38">
        <v>0</v>
      </c>
      <c r="D75" s="5" t="s">
        <v>105</v>
      </c>
      <c r="E75" s="5"/>
      <c r="F75" s="5"/>
      <c r="G75" s="5"/>
      <c r="H75" s="5"/>
      <c r="I75" s="6">
        <f>'PH TC 2024'!F121</f>
        <v>0</v>
      </c>
      <c r="J75" s="6">
        <f t="shared" si="3"/>
        <v>0</v>
      </c>
      <c r="K75" s="6"/>
      <c r="L75" s="50"/>
      <c r="M75" s="5"/>
      <c r="N75" s="38"/>
      <c r="O75" s="5"/>
    </row>
    <row r="76" spans="1:15" ht="16.5" x14ac:dyDescent="0.55000000000000004">
      <c r="A76" s="5"/>
      <c r="B76" s="5" t="str">
        <f>'PH TC 2024'!A133</f>
        <v>N/A</v>
      </c>
      <c r="C76" s="38">
        <v>0</v>
      </c>
      <c r="D76" s="5" t="s">
        <v>105</v>
      </c>
      <c r="E76" s="5"/>
      <c r="F76" s="5"/>
      <c r="G76" s="5"/>
      <c r="H76" s="5"/>
      <c r="I76" s="6">
        <f>'PH TC 2024'!F133</f>
        <v>0</v>
      </c>
      <c r="J76" s="6">
        <f t="shared" si="3"/>
        <v>0</v>
      </c>
      <c r="K76" s="6"/>
      <c r="L76" s="50"/>
      <c r="M76" s="5"/>
      <c r="N76" s="38"/>
      <c r="O76" s="6"/>
    </row>
    <row r="77" spans="1:15" ht="16.5" x14ac:dyDescent="0.55000000000000004">
      <c r="A77" s="5"/>
      <c r="B77" s="5" t="str">
        <f>'PH TC 2024'!A145</f>
        <v>Mata bor Hilti 6mm</v>
      </c>
      <c r="C77" s="38">
        <v>0</v>
      </c>
      <c r="D77" s="5" t="s">
        <v>105</v>
      </c>
      <c r="E77" s="5"/>
      <c r="F77" s="5"/>
      <c r="G77" s="5"/>
      <c r="H77" s="5"/>
      <c r="I77" s="6">
        <f>'PH TC 2024'!F145</f>
        <v>138000</v>
      </c>
      <c r="J77" s="6">
        <f t="shared" si="3"/>
        <v>0</v>
      </c>
      <c r="K77" s="6"/>
      <c r="L77" s="50"/>
      <c r="M77" s="5"/>
      <c r="N77" s="38"/>
      <c r="O77" s="6"/>
    </row>
    <row r="78" spans="1:15" ht="16.5" x14ac:dyDescent="0.55000000000000004">
      <c r="A78" s="5"/>
      <c r="B78" s="5" t="str">
        <f>'PH TC 2024'!A157</f>
        <v>Mata Bor Hilti 8mm</v>
      </c>
      <c r="C78" s="38">
        <v>0</v>
      </c>
      <c r="D78" s="5" t="s">
        <v>105</v>
      </c>
      <c r="E78" s="5"/>
      <c r="F78" s="5"/>
      <c r="G78" s="5"/>
      <c r="H78" s="5"/>
      <c r="I78" s="6">
        <f>'PH TC 2024'!F157</f>
        <v>159000</v>
      </c>
      <c r="J78" s="6">
        <f t="shared" si="3"/>
        <v>0</v>
      </c>
      <c r="K78" s="6"/>
      <c r="L78" s="50"/>
      <c r="M78" s="5"/>
      <c r="N78" s="38"/>
      <c r="O78" s="6"/>
    </row>
    <row r="79" spans="1:15" ht="16.5" x14ac:dyDescent="0.55000000000000004">
      <c r="A79" s="5"/>
      <c r="B79" s="5" t="str">
        <f>'PH TC 2024'!A169</f>
        <v>Mata Bor Hilti 10mm</v>
      </c>
      <c r="C79" s="38">
        <v>0</v>
      </c>
      <c r="D79" s="5" t="s">
        <v>105</v>
      </c>
      <c r="E79" s="5"/>
      <c r="F79" s="5"/>
      <c r="G79" s="5"/>
      <c r="H79" s="5"/>
      <c r="I79" s="6">
        <f>'PH TC 2024'!F169</f>
        <v>189000</v>
      </c>
      <c r="J79" s="6">
        <f t="shared" si="3"/>
        <v>0</v>
      </c>
      <c r="K79" s="6"/>
      <c r="L79" s="50"/>
      <c r="M79" s="5"/>
      <c r="N79" s="38"/>
      <c r="O79" s="6"/>
    </row>
    <row r="80" spans="1:15" ht="16.5" x14ac:dyDescent="0.55000000000000004">
      <c r="A80" s="5"/>
      <c r="B80" s="5" t="str">
        <f>'PH TC 2024'!A181</f>
        <v>Semen Warna</v>
      </c>
      <c r="C80" s="38">
        <v>0</v>
      </c>
      <c r="D80" s="5" t="s">
        <v>105</v>
      </c>
      <c r="E80" s="5"/>
      <c r="F80" s="5"/>
      <c r="G80" s="5"/>
      <c r="H80" s="5"/>
      <c r="I80" s="6">
        <f>'PH TC 2024'!F181</f>
        <v>10000</v>
      </c>
      <c r="J80" s="6">
        <f t="shared" si="3"/>
        <v>0</v>
      </c>
      <c r="K80" s="6"/>
      <c r="L80" s="50"/>
      <c r="M80" s="5"/>
      <c r="N80" s="38"/>
      <c r="O80" s="6"/>
    </row>
    <row r="81" spans="1:15" ht="16.5" x14ac:dyDescent="0.55000000000000004">
      <c r="A81" s="5"/>
      <c r="B81" s="5" t="s">
        <v>341</v>
      </c>
      <c r="C81" s="38">
        <v>0</v>
      </c>
      <c r="D81" s="5" t="s">
        <v>105</v>
      </c>
      <c r="E81" s="5"/>
      <c r="F81" s="5"/>
      <c r="G81" s="5"/>
      <c r="H81" s="5"/>
      <c r="I81" s="6">
        <v>10000</v>
      </c>
      <c r="J81" s="6">
        <f t="shared" si="3"/>
        <v>0</v>
      </c>
      <c r="K81" s="6"/>
      <c r="L81" s="50"/>
      <c r="M81" s="5"/>
      <c r="N81" s="38"/>
      <c r="O81" s="6"/>
    </row>
    <row r="82" spans="1:15" ht="16.5" x14ac:dyDescent="0.55000000000000004">
      <c r="A82" s="5"/>
      <c r="B82" s="5" t="str">
        <f>'PH TC 2024'!A205</f>
        <v>Oli Fastron 10W-40SL</v>
      </c>
      <c r="C82" s="38">
        <v>0</v>
      </c>
      <c r="D82" s="5" t="s">
        <v>105</v>
      </c>
      <c r="E82" s="5"/>
      <c r="F82" s="5"/>
      <c r="G82" s="5"/>
      <c r="H82" s="5"/>
      <c r="I82" s="6">
        <f>'PH TC 2024'!F205</f>
        <v>50000</v>
      </c>
      <c r="J82" s="6">
        <f t="shared" si="3"/>
        <v>0</v>
      </c>
      <c r="K82" s="6"/>
      <c r="L82" s="50"/>
      <c r="M82" s="5"/>
      <c r="N82" s="38"/>
      <c r="O82" s="6"/>
    </row>
    <row r="83" spans="1:15" ht="16.5" x14ac:dyDescent="0.55000000000000004">
      <c r="A83" s="5"/>
      <c r="B83" s="5" t="str">
        <f>'PH TC 2024'!A241</f>
        <v>Jarum B&amp;G</v>
      </c>
      <c r="C83" s="38">
        <v>0</v>
      </c>
      <c r="D83" s="5" t="s">
        <v>105</v>
      </c>
      <c r="E83" s="5"/>
      <c r="F83" s="5"/>
      <c r="G83" s="5"/>
      <c r="H83" s="5"/>
      <c r="I83" s="6">
        <f>'PH TC 2024'!F241</f>
        <v>142500</v>
      </c>
      <c r="J83" s="6">
        <f t="shared" si="3"/>
        <v>0</v>
      </c>
      <c r="K83" s="6"/>
      <c r="L83" s="50"/>
      <c r="M83" s="5"/>
      <c r="N83" s="38"/>
      <c r="O83" s="6"/>
    </row>
    <row r="84" spans="1:15" ht="16.5" x14ac:dyDescent="0.55000000000000004">
      <c r="A84" s="5"/>
      <c r="B84" s="5" t="str">
        <f>'PH TC 2024'!A253</f>
        <v>N/A</v>
      </c>
      <c r="C84" s="38">
        <v>0</v>
      </c>
      <c r="D84" s="5" t="s">
        <v>105</v>
      </c>
      <c r="E84" s="5"/>
      <c r="F84" s="5"/>
      <c r="G84" s="5"/>
      <c r="H84" s="5"/>
      <c r="I84" s="6">
        <f>'PH TC 2024'!F253</f>
        <v>0</v>
      </c>
      <c r="J84" s="6">
        <f t="shared" si="3"/>
        <v>0</v>
      </c>
      <c r="K84" s="6"/>
      <c r="L84" s="50"/>
      <c r="M84" s="5"/>
      <c r="N84" s="38"/>
      <c r="O84" s="6"/>
    </row>
    <row r="85" spans="1:15" ht="16.5" x14ac:dyDescent="0.55000000000000004">
      <c r="A85" s="5"/>
      <c r="B85" s="5" t="str">
        <f>'PH TC 2024'!A265</f>
        <v>N/A</v>
      </c>
      <c r="C85" s="38">
        <v>0</v>
      </c>
      <c r="D85" s="5" t="s">
        <v>105</v>
      </c>
      <c r="E85" s="5"/>
      <c r="F85" s="5"/>
      <c r="G85" s="5"/>
      <c r="H85" s="5"/>
      <c r="I85" s="6">
        <f>'PH TC 2024'!F265</f>
        <v>0</v>
      </c>
      <c r="J85" s="6">
        <f t="shared" si="3"/>
        <v>0</v>
      </c>
      <c r="K85" s="6"/>
      <c r="L85" s="50"/>
      <c r="M85" s="5"/>
      <c r="N85" s="38"/>
      <c r="O85" s="6"/>
    </row>
    <row r="86" spans="1:15" ht="16.5" x14ac:dyDescent="0.55000000000000004">
      <c r="A86" s="5"/>
      <c r="B86" s="5" t="str">
        <f>'PH TC 2024'!A277</f>
        <v>N/A</v>
      </c>
      <c r="C86" s="38">
        <v>0</v>
      </c>
      <c r="D86" s="5" t="s">
        <v>105</v>
      </c>
      <c r="E86" s="5"/>
      <c r="F86" s="5"/>
      <c r="G86" s="5"/>
      <c r="H86" s="5"/>
      <c r="I86" s="6">
        <f>'PH TC 2024'!F277</f>
        <v>0</v>
      </c>
      <c r="J86" s="6">
        <f t="shared" si="3"/>
        <v>0</v>
      </c>
      <c r="K86" s="6"/>
      <c r="L86" s="50"/>
      <c r="M86" s="5"/>
      <c r="N86" s="38"/>
      <c r="O86" s="6"/>
    </row>
    <row r="87" spans="1:15" ht="16.5" x14ac:dyDescent="0.55000000000000004">
      <c r="A87" s="5"/>
      <c r="B87" s="5" t="str">
        <f>'PH TC 2024'!A289</f>
        <v>N/A</v>
      </c>
      <c r="C87" s="38">
        <v>0</v>
      </c>
      <c r="D87" s="5" t="s">
        <v>105</v>
      </c>
      <c r="E87" s="5"/>
      <c r="F87" s="5"/>
      <c r="G87" s="5"/>
      <c r="H87" s="5"/>
      <c r="I87" s="6">
        <f>'PH TC 2024'!F289</f>
        <v>0</v>
      </c>
      <c r="J87" s="6">
        <f t="shared" si="3"/>
        <v>0</v>
      </c>
      <c r="K87" s="6"/>
      <c r="L87" s="50"/>
      <c r="M87" s="5"/>
      <c r="N87" s="38"/>
      <c r="O87" s="6"/>
    </row>
    <row r="88" spans="1:15" ht="16.5" x14ac:dyDescent="0.55000000000000004">
      <c r="A88" s="5"/>
      <c r="B88" s="5" t="str">
        <f>'PH TC 2024'!A301</f>
        <v>N/A</v>
      </c>
      <c r="C88" s="38">
        <v>0</v>
      </c>
      <c r="D88" s="5" t="s">
        <v>105</v>
      </c>
      <c r="E88" s="5"/>
      <c r="F88" s="5"/>
      <c r="G88" s="5"/>
      <c r="H88" s="5"/>
      <c r="I88" s="6">
        <f>'PH TC 2024'!F301</f>
        <v>0</v>
      </c>
      <c r="J88" s="6">
        <f t="shared" si="3"/>
        <v>0</v>
      </c>
      <c r="K88" s="6"/>
      <c r="L88" s="50"/>
      <c r="M88" s="5"/>
      <c r="N88" s="38"/>
      <c r="O88" s="6"/>
    </row>
    <row r="89" spans="1:15" ht="16.5" x14ac:dyDescent="0.55000000000000004">
      <c r="A89" s="5"/>
      <c r="B89" s="5" t="str">
        <f>'PH TC 2024'!A313</f>
        <v>N/A</v>
      </c>
      <c r="C89" s="38">
        <v>0</v>
      </c>
      <c r="D89" s="5" t="s">
        <v>105</v>
      </c>
      <c r="E89" s="5"/>
      <c r="F89" s="5"/>
      <c r="G89" s="5"/>
      <c r="H89" s="5"/>
      <c r="I89" s="6">
        <f>'PH TC 2024'!F313</f>
        <v>0</v>
      </c>
      <c r="J89" s="6">
        <f t="shared" si="3"/>
        <v>0</v>
      </c>
      <c r="K89" s="6"/>
      <c r="L89" s="50"/>
      <c r="M89" s="5"/>
      <c r="N89" s="38"/>
      <c r="O89" s="6"/>
    </row>
    <row r="90" spans="1:15" ht="16.5" x14ac:dyDescent="0.55000000000000004">
      <c r="A90" s="5"/>
      <c r="B90" s="5" t="str">
        <f>'PH TC 2024'!A325</f>
        <v>N/A</v>
      </c>
      <c r="C90" s="38">
        <v>0</v>
      </c>
      <c r="D90" s="5" t="s">
        <v>105</v>
      </c>
      <c r="E90" s="5"/>
      <c r="F90" s="5"/>
      <c r="G90" s="5"/>
      <c r="H90" s="5"/>
      <c r="I90" s="6">
        <f>'PH TC 2024'!F325</f>
        <v>0</v>
      </c>
      <c r="J90" s="6">
        <f t="shared" si="3"/>
        <v>0</v>
      </c>
      <c r="K90" s="6"/>
      <c r="L90" s="50"/>
      <c r="M90" s="5"/>
      <c r="N90" s="38"/>
      <c r="O90" s="6"/>
    </row>
    <row r="91" spans="1:15" ht="16.5" x14ac:dyDescent="0.55000000000000004">
      <c r="A91" s="5"/>
      <c r="B91" s="5" t="str">
        <f>'PH TC 2024'!A337</f>
        <v>N/A</v>
      </c>
      <c r="C91" s="38">
        <v>0</v>
      </c>
      <c r="D91" s="5" t="s">
        <v>105</v>
      </c>
      <c r="E91" s="5"/>
      <c r="F91" s="5"/>
      <c r="G91" s="5"/>
      <c r="H91" s="5"/>
      <c r="I91" s="6">
        <f>'PH TC 2024'!F337</f>
        <v>0</v>
      </c>
      <c r="J91" s="6">
        <f t="shared" si="3"/>
        <v>0</v>
      </c>
      <c r="K91" s="6"/>
      <c r="L91" s="50"/>
      <c r="M91" s="5"/>
      <c r="N91" s="38"/>
      <c r="O91" s="6"/>
    </row>
    <row r="92" spans="1:15" ht="14.5" x14ac:dyDescent="0.35">
      <c r="A92" s="5"/>
      <c r="B92" s="5"/>
      <c r="C92" s="38"/>
      <c r="D92" s="5"/>
      <c r="E92" s="5"/>
      <c r="F92" s="5"/>
      <c r="G92" s="5"/>
      <c r="H92" s="5"/>
      <c r="I92" s="6"/>
      <c r="J92" s="6"/>
      <c r="K92" s="6"/>
      <c r="L92" s="5"/>
      <c r="M92" s="5"/>
      <c r="N92" s="38"/>
      <c r="O92" s="6"/>
    </row>
    <row r="93" spans="1:15" ht="14.5" x14ac:dyDescent="0.35">
      <c r="A93" s="5"/>
      <c r="B93" s="5"/>
      <c r="C93" s="38"/>
      <c r="D93" s="5"/>
      <c r="E93" s="5"/>
      <c r="F93" s="5"/>
      <c r="G93" s="5"/>
      <c r="H93" s="5"/>
      <c r="I93" s="6"/>
      <c r="J93" s="6"/>
      <c r="K93" s="6"/>
      <c r="L93" s="5"/>
      <c r="M93" s="5"/>
      <c r="N93" s="38"/>
      <c r="O93" s="6"/>
    </row>
    <row r="94" spans="1:15" ht="14.5" x14ac:dyDescent="0.35">
      <c r="A94" s="46" t="s">
        <v>27</v>
      </c>
      <c r="B94" s="5" t="s">
        <v>91</v>
      </c>
      <c r="C94" s="38"/>
      <c r="D94" s="5"/>
      <c r="E94" s="5"/>
      <c r="F94" s="5"/>
      <c r="G94" s="5"/>
      <c r="H94" s="5"/>
      <c r="I94" s="6"/>
      <c r="J94" s="6"/>
      <c r="K94" s="6">
        <f>SUM(J95:J99)</f>
        <v>0</v>
      </c>
      <c r="L94" s="5"/>
      <c r="M94" s="5"/>
      <c r="N94" s="38"/>
      <c r="O94" s="6"/>
    </row>
    <row r="95" spans="1:15" ht="16.5" x14ac:dyDescent="0.55000000000000004">
      <c r="A95" s="5" t="str">
        <f>'PH Umum 2024'!A85</f>
        <v>Masker untuk Klien</v>
      </c>
      <c r="B95" s="5"/>
      <c r="C95" s="38">
        <v>0</v>
      </c>
      <c r="D95" s="5" t="s">
        <v>112</v>
      </c>
      <c r="E95" s="5"/>
      <c r="F95" s="5"/>
      <c r="G95" s="5"/>
      <c r="H95" s="5"/>
      <c r="I95" s="6">
        <f>'PH Umum 2024'!F85</f>
        <v>1000</v>
      </c>
      <c r="J95" s="6">
        <f t="shared" ref="J95:J99" si="4">C95*I95</f>
        <v>0</v>
      </c>
      <c r="K95" s="6"/>
      <c r="L95" s="50"/>
      <c r="M95" s="5"/>
      <c r="N95" s="38"/>
      <c r="O95" s="6"/>
    </row>
    <row r="96" spans="1:15" ht="16.5" x14ac:dyDescent="0.55000000000000004">
      <c r="A96" s="5" t="str">
        <f>'PH Umum 2024'!A97</f>
        <v>Company Profile</v>
      </c>
      <c r="B96" s="5"/>
      <c r="C96" s="38">
        <v>0</v>
      </c>
      <c r="D96" s="5" t="s">
        <v>112</v>
      </c>
      <c r="E96" s="5"/>
      <c r="F96" s="5"/>
      <c r="G96" s="5"/>
      <c r="H96" s="5"/>
      <c r="I96" s="6">
        <f>'PH Umum 2024'!F97</f>
        <v>10000</v>
      </c>
      <c r="J96" s="6">
        <f t="shared" si="4"/>
        <v>0</v>
      </c>
      <c r="K96" s="6"/>
      <c r="L96" s="50"/>
      <c r="M96" s="5"/>
      <c r="N96" s="38"/>
      <c r="O96" s="6"/>
    </row>
    <row r="97" spans="1:15" ht="16.5" x14ac:dyDescent="0.55000000000000004">
      <c r="A97" s="5" t="str">
        <f>'PH Umum 2024'!A109</f>
        <v>Laporan/SPK/Surat/Kontrak</v>
      </c>
      <c r="B97" s="5"/>
      <c r="C97" s="38">
        <v>0</v>
      </c>
      <c r="D97" s="5" t="s">
        <v>112</v>
      </c>
      <c r="E97" s="5"/>
      <c r="F97" s="5"/>
      <c r="G97" s="5"/>
      <c r="H97" s="5"/>
      <c r="I97" s="6">
        <f>'PH Umum 2024'!F109</f>
        <v>5000</v>
      </c>
      <c r="J97" s="6">
        <f t="shared" si="4"/>
        <v>0</v>
      </c>
      <c r="K97" s="6"/>
      <c r="L97" s="50"/>
      <c r="M97" s="5"/>
      <c r="N97" s="38"/>
      <c r="O97" s="6"/>
    </row>
    <row r="98" spans="1:15" ht="16.5" x14ac:dyDescent="0.55000000000000004">
      <c r="A98" s="5" t="str">
        <f>'PH Umum 2024'!A121</f>
        <v>BAP</v>
      </c>
      <c r="B98" s="5"/>
      <c r="C98" s="38">
        <v>0</v>
      </c>
      <c r="D98" s="5" t="s">
        <v>105</v>
      </c>
      <c r="E98" s="5"/>
      <c r="F98" s="5"/>
      <c r="G98" s="5"/>
      <c r="H98" s="5"/>
      <c r="I98" s="6">
        <f>'PH Umum 2024'!F121</f>
        <v>50000</v>
      </c>
      <c r="J98" s="6">
        <f t="shared" si="4"/>
        <v>0</v>
      </c>
      <c r="K98" s="6"/>
      <c r="L98" s="50"/>
      <c r="M98" s="5"/>
      <c r="N98" s="38"/>
      <c r="O98" s="6"/>
    </row>
    <row r="99" spans="1:15" ht="16.5" x14ac:dyDescent="0.55000000000000004">
      <c r="A99" s="5" t="str">
        <f>'PH Umum 2024'!A133</f>
        <v>LOG BOOK</v>
      </c>
      <c r="B99" s="5"/>
      <c r="C99" s="38">
        <v>0</v>
      </c>
      <c r="D99" s="5" t="s">
        <v>105</v>
      </c>
      <c r="E99" s="5"/>
      <c r="F99" s="5"/>
      <c r="G99" s="5"/>
      <c r="H99" s="5"/>
      <c r="I99" s="6">
        <f>'PH Umum 2024'!F133</f>
        <v>20000</v>
      </c>
      <c r="J99" s="6">
        <f t="shared" si="4"/>
        <v>0</v>
      </c>
      <c r="K99" s="6"/>
      <c r="L99" s="50"/>
      <c r="M99" s="5"/>
      <c r="N99" s="38"/>
      <c r="O99" s="6"/>
    </row>
    <row r="100" spans="1:15" ht="14.5" x14ac:dyDescent="0.35">
      <c r="A100" s="5"/>
      <c r="B100" s="5"/>
      <c r="C100" s="38"/>
      <c r="D100" s="5"/>
      <c r="E100" s="5"/>
      <c r="F100" s="5"/>
      <c r="G100" s="5"/>
      <c r="H100" s="5"/>
      <c r="I100" s="6"/>
      <c r="J100" s="6"/>
      <c r="K100" s="6"/>
      <c r="L100" s="5"/>
      <c r="M100" s="5"/>
      <c r="N100" s="38"/>
      <c r="O100" s="6"/>
    </row>
    <row r="101" spans="1:15" ht="14.5" x14ac:dyDescent="0.35">
      <c r="A101" s="5"/>
      <c r="B101" s="5"/>
      <c r="C101" s="38"/>
      <c r="D101" s="5"/>
      <c r="E101" s="5"/>
      <c r="F101" s="5"/>
      <c r="G101" s="5"/>
      <c r="H101" s="5"/>
      <c r="I101" s="6"/>
      <c r="J101" s="6"/>
      <c r="K101" s="6"/>
      <c r="L101" s="5"/>
      <c r="M101" s="5"/>
      <c r="N101" s="38"/>
      <c r="O101" s="6"/>
    </row>
    <row r="102" spans="1:15" ht="14.5" x14ac:dyDescent="0.35">
      <c r="A102" s="5"/>
      <c r="B102" s="5"/>
      <c r="C102" s="38"/>
      <c r="D102" s="5"/>
      <c r="E102" s="5"/>
      <c r="F102" s="5"/>
      <c r="G102" s="5"/>
      <c r="H102" s="5"/>
      <c r="I102" s="6"/>
      <c r="J102" s="6"/>
      <c r="K102" s="6"/>
      <c r="L102" s="5"/>
      <c r="M102" s="5"/>
      <c r="N102" s="38"/>
      <c r="O102" s="6"/>
    </row>
    <row r="103" spans="1:15" ht="14.5" x14ac:dyDescent="0.35">
      <c r="A103" s="5"/>
      <c r="B103" s="5"/>
      <c r="C103" s="38"/>
      <c r="D103" s="5"/>
      <c r="E103" s="5"/>
      <c r="F103" s="5"/>
      <c r="G103" s="5"/>
      <c r="H103" s="5"/>
      <c r="I103" s="6"/>
      <c r="J103" s="6"/>
      <c r="K103" s="6"/>
      <c r="L103" s="5"/>
      <c r="M103" s="5"/>
      <c r="N103" s="38"/>
      <c r="O103" s="6"/>
    </row>
    <row r="104" spans="1:15" ht="14.5" x14ac:dyDescent="0.35">
      <c r="A104" s="5"/>
      <c r="B104" s="5"/>
      <c r="C104" s="38"/>
      <c r="D104" s="5"/>
      <c r="E104" s="5"/>
      <c r="F104" s="5"/>
      <c r="G104" s="5"/>
      <c r="H104" s="5"/>
      <c r="I104" s="6"/>
      <c r="J104" s="6"/>
      <c r="K104" s="6"/>
      <c r="L104" s="5"/>
      <c r="M104" s="5"/>
      <c r="N104" s="38"/>
      <c r="O104" s="6"/>
    </row>
    <row r="105" spans="1:15" ht="14.5" x14ac:dyDescent="0.35">
      <c r="A105" s="5"/>
      <c r="B105" s="5"/>
      <c r="C105" s="38"/>
      <c r="D105" s="5"/>
      <c r="E105" s="5"/>
      <c r="F105" s="5"/>
      <c r="G105" s="5"/>
      <c r="H105" s="5"/>
      <c r="I105" s="6"/>
      <c r="J105" s="6"/>
      <c r="K105" s="6"/>
      <c r="L105" s="5"/>
      <c r="M105" s="5"/>
      <c r="N105" s="38"/>
      <c r="O105" s="6"/>
    </row>
    <row r="106" spans="1:15" ht="14.5" x14ac:dyDescent="0.35">
      <c r="A106" s="5"/>
      <c r="B106" s="5"/>
      <c r="C106" s="38"/>
      <c r="D106" s="5"/>
      <c r="E106" s="5"/>
      <c r="F106" s="5"/>
      <c r="G106" s="5"/>
      <c r="H106" s="5"/>
      <c r="I106" s="6"/>
      <c r="J106" s="6"/>
      <c r="K106" s="6"/>
      <c r="L106" s="5"/>
      <c r="M106" s="5"/>
      <c r="N106" s="38"/>
      <c r="O106" s="6"/>
    </row>
    <row r="107" spans="1:15" ht="12.5" x14ac:dyDescent="0.25">
      <c r="C107" s="31"/>
      <c r="I107" s="43"/>
      <c r="J107" s="43"/>
      <c r="K107" s="43"/>
      <c r="N107" s="31"/>
      <c r="O107" s="43"/>
    </row>
    <row r="108" spans="1:15" ht="12.5" x14ac:dyDescent="0.25">
      <c r="C108" s="31"/>
      <c r="I108" s="43"/>
      <c r="J108" s="43"/>
      <c r="K108" s="43"/>
      <c r="N108" s="31"/>
      <c r="O108" s="43"/>
    </row>
    <row r="109" spans="1:15" ht="12.5" x14ac:dyDescent="0.25">
      <c r="C109" s="31"/>
      <c r="I109" s="43"/>
      <c r="J109" s="43"/>
      <c r="K109" s="43"/>
      <c r="N109" s="31"/>
      <c r="O109" s="43"/>
    </row>
    <row r="110" spans="1:15" ht="12.5" x14ac:dyDescent="0.25">
      <c r="C110" s="31"/>
      <c r="I110" s="43"/>
      <c r="J110" s="43"/>
      <c r="K110" s="43"/>
      <c r="N110" s="31"/>
      <c r="O110" s="43"/>
    </row>
    <row r="111" spans="1:15" ht="12.5" x14ac:dyDescent="0.25">
      <c r="C111" s="31"/>
      <c r="I111" s="43"/>
      <c r="J111" s="43"/>
      <c r="K111" s="43"/>
      <c r="N111" s="31"/>
      <c r="O111" s="43"/>
    </row>
    <row r="112" spans="1:15" ht="12.5" x14ac:dyDescent="0.25">
      <c r="C112" s="31"/>
      <c r="I112" s="43"/>
      <c r="J112" s="43"/>
      <c r="K112" s="43"/>
      <c r="N112" s="31"/>
      <c r="O112" s="43"/>
    </row>
    <row r="113" spans="3:15" ht="12.5" x14ac:dyDescent="0.25">
      <c r="C113" s="31"/>
      <c r="I113" s="43"/>
      <c r="J113" s="43"/>
      <c r="K113" s="43"/>
      <c r="N113" s="31"/>
      <c r="O113" s="43"/>
    </row>
    <row r="114" spans="3:15" ht="12.5" x14ac:dyDescent="0.25">
      <c r="C114" s="31"/>
      <c r="I114" s="43"/>
      <c r="J114" s="43"/>
      <c r="K114" s="43"/>
      <c r="N114" s="31"/>
      <c r="O114" s="43"/>
    </row>
    <row r="115" spans="3:15" ht="12.5" x14ac:dyDescent="0.25">
      <c r="C115" s="31"/>
      <c r="I115" s="43"/>
      <c r="J115" s="43"/>
      <c r="K115" s="43"/>
      <c r="N115" s="31"/>
      <c r="O115" s="43"/>
    </row>
    <row r="116" spans="3:15" ht="12.5" x14ac:dyDescent="0.25">
      <c r="C116" s="31"/>
      <c r="I116" s="43"/>
      <c r="J116" s="43"/>
      <c r="K116" s="43"/>
      <c r="N116" s="31"/>
      <c r="O116" s="43"/>
    </row>
    <row r="117" spans="3:15" ht="12.5" x14ac:dyDescent="0.25">
      <c r="C117" s="31"/>
      <c r="I117" s="43"/>
      <c r="J117" s="43"/>
      <c r="K117" s="43"/>
      <c r="N117" s="31"/>
      <c r="O117" s="43"/>
    </row>
    <row r="118" spans="3:15" ht="12.5" x14ac:dyDescent="0.25">
      <c r="C118" s="31"/>
      <c r="I118" s="43"/>
      <c r="J118" s="43"/>
      <c r="K118" s="43"/>
      <c r="N118" s="31"/>
      <c r="O118" s="43"/>
    </row>
    <row r="119" spans="3:15" ht="12.5" x14ac:dyDescent="0.25">
      <c r="C119" s="31"/>
      <c r="I119" s="43"/>
      <c r="J119" s="43"/>
      <c r="K119" s="43"/>
      <c r="N119" s="31"/>
      <c r="O119" s="43"/>
    </row>
    <row r="120" spans="3:15" ht="12.5" x14ac:dyDescent="0.25">
      <c r="C120" s="31"/>
      <c r="I120" s="43"/>
      <c r="J120" s="43"/>
      <c r="K120" s="43"/>
      <c r="N120" s="31"/>
      <c r="O120" s="43"/>
    </row>
    <row r="121" spans="3:15" ht="12.5" x14ac:dyDescent="0.25">
      <c r="C121" s="31"/>
      <c r="I121" s="43"/>
      <c r="J121" s="43"/>
      <c r="K121" s="43"/>
      <c r="N121" s="31"/>
      <c r="O121" s="43"/>
    </row>
    <row r="122" spans="3:15" ht="12.5" x14ac:dyDescent="0.25">
      <c r="C122" s="31"/>
      <c r="I122" s="43"/>
      <c r="J122" s="43"/>
      <c r="K122" s="43"/>
      <c r="N122" s="31"/>
      <c r="O122" s="43"/>
    </row>
    <row r="123" spans="3:15" ht="12.5" x14ac:dyDescent="0.25">
      <c r="C123" s="31"/>
      <c r="I123" s="43"/>
      <c r="J123" s="43"/>
      <c r="K123" s="43"/>
      <c r="N123" s="31"/>
      <c r="O123" s="43"/>
    </row>
    <row r="124" spans="3:15" ht="12.5" x14ac:dyDescent="0.25">
      <c r="C124" s="31"/>
      <c r="I124" s="43"/>
      <c r="J124" s="43"/>
      <c r="K124" s="43"/>
      <c r="N124" s="31"/>
      <c r="O124" s="43"/>
    </row>
    <row r="125" spans="3:15" ht="12.5" x14ac:dyDescent="0.25">
      <c r="C125" s="31"/>
      <c r="I125" s="43"/>
      <c r="J125" s="43"/>
      <c r="K125" s="43"/>
      <c r="N125" s="31"/>
      <c r="O125" s="43"/>
    </row>
    <row r="126" spans="3:15" ht="12.5" x14ac:dyDescent="0.25">
      <c r="C126" s="31"/>
      <c r="I126" s="43"/>
      <c r="J126" s="43"/>
      <c r="K126" s="43"/>
      <c r="N126" s="31"/>
      <c r="O126" s="43"/>
    </row>
    <row r="127" spans="3:15" ht="12.5" x14ac:dyDescent="0.25">
      <c r="C127" s="31"/>
      <c r="I127" s="43"/>
      <c r="J127" s="43"/>
      <c r="K127" s="43"/>
      <c r="N127" s="31"/>
      <c r="O127" s="43"/>
    </row>
    <row r="128" spans="3:15" ht="12.5" x14ac:dyDescent="0.25">
      <c r="C128" s="31"/>
      <c r="I128" s="43"/>
      <c r="J128" s="43"/>
      <c r="K128" s="43"/>
      <c r="N128" s="31"/>
      <c r="O128" s="43"/>
    </row>
    <row r="129" spans="3:15" ht="12.5" x14ac:dyDescent="0.25">
      <c r="C129" s="31"/>
      <c r="I129" s="43"/>
      <c r="J129" s="43"/>
      <c r="K129" s="43"/>
      <c r="N129" s="31"/>
      <c r="O129" s="43"/>
    </row>
    <row r="130" spans="3:15" ht="12.5" x14ac:dyDescent="0.25">
      <c r="C130" s="31"/>
      <c r="I130" s="43"/>
      <c r="J130" s="43"/>
      <c r="K130" s="43"/>
      <c r="N130" s="31"/>
      <c r="O130" s="43"/>
    </row>
    <row r="131" spans="3:15" ht="12.5" x14ac:dyDescent="0.25">
      <c r="C131" s="31"/>
      <c r="I131" s="43"/>
      <c r="J131" s="43"/>
      <c r="K131" s="43"/>
      <c r="N131" s="31"/>
      <c r="O131" s="43"/>
    </row>
    <row r="132" spans="3:15" ht="12.5" x14ac:dyDescent="0.25">
      <c r="C132" s="31"/>
      <c r="I132" s="43"/>
      <c r="J132" s="43"/>
      <c r="K132" s="43"/>
      <c r="N132" s="31"/>
      <c r="O132" s="43"/>
    </row>
    <row r="133" spans="3:15" ht="12.5" x14ac:dyDescent="0.25">
      <c r="C133" s="31"/>
      <c r="I133" s="43"/>
      <c r="J133" s="43"/>
      <c r="K133" s="43"/>
      <c r="N133" s="31"/>
      <c r="O133" s="43"/>
    </row>
    <row r="134" spans="3:15" ht="12.5" x14ac:dyDescent="0.25">
      <c r="C134" s="31"/>
      <c r="I134" s="43"/>
      <c r="J134" s="43"/>
      <c r="K134" s="43"/>
      <c r="N134" s="31"/>
      <c r="O134" s="43"/>
    </row>
    <row r="135" spans="3:15" ht="12.5" x14ac:dyDescent="0.25">
      <c r="C135" s="31"/>
      <c r="I135" s="43"/>
      <c r="J135" s="43"/>
      <c r="K135" s="43"/>
      <c r="N135" s="31"/>
      <c r="O135" s="43"/>
    </row>
    <row r="136" spans="3:15" ht="12.5" x14ac:dyDescent="0.25">
      <c r="C136" s="31"/>
      <c r="I136" s="43"/>
      <c r="J136" s="43"/>
      <c r="K136" s="43"/>
      <c r="N136" s="31"/>
      <c r="O136" s="43"/>
    </row>
    <row r="137" spans="3:15" ht="12.5" x14ac:dyDescent="0.25">
      <c r="C137" s="31"/>
      <c r="I137" s="43"/>
      <c r="J137" s="43"/>
      <c r="K137" s="43"/>
      <c r="N137" s="31"/>
      <c r="O137" s="43"/>
    </row>
    <row r="138" spans="3:15" ht="12.5" x14ac:dyDescent="0.25">
      <c r="C138" s="31"/>
      <c r="I138" s="43"/>
      <c r="J138" s="43"/>
      <c r="K138" s="43"/>
      <c r="N138" s="31"/>
      <c r="O138" s="43"/>
    </row>
    <row r="139" spans="3:15" ht="12.5" x14ac:dyDescent="0.25">
      <c r="C139" s="31"/>
      <c r="I139" s="43"/>
      <c r="J139" s="43"/>
      <c r="K139" s="43"/>
      <c r="N139" s="31"/>
      <c r="O139" s="43"/>
    </row>
    <row r="140" spans="3:15" ht="12.5" x14ac:dyDescent="0.25">
      <c r="C140" s="31"/>
      <c r="I140" s="43"/>
      <c r="J140" s="43"/>
      <c r="K140" s="43"/>
      <c r="N140" s="31"/>
      <c r="O140" s="43"/>
    </row>
    <row r="141" spans="3:15" ht="12.5" x14ac:dyDescent="0.25">
      <c r="C141" s="31"/>
      <c r="I141" s="43"/>
      <c r="J141" s="43"/>
      <c r="K141" s="43"/>
      <c r="N141" s="31"/>
      <c r="O141" s="43"/>
    </row>
    <row r="142" spans="3:15" ht="12.5" x14ac:dyDescent="0.25">
      <c r="C142" s="31"/>
      <c r="I142" s="43"/>
      <c r="J142" s="43"/>
      <c r="K142" s="43"/>
      <c r="N142" s="31"/>
      <c r="O142" s="43"/>
    </row>
    <row r="143" spans="3:15" ht="12.5" x14ac:dyDescent="0.25">
      <c r="C143" s="31"/>
      <c r="I143" s="43"/>
      <c r="J143" s="43"/>
      <c r="K143" s="43"/>
      <c r="N143" s="31"/>
      <c r="O143" s="43"/>
    </row>
    <row r="144" spans="3:15" ht="12.5" x14ac:dyDescent="0.25">
      <c r="C144" s="31"/>
      <c r="I144" s="43"/>
      <c r="J144" s="43"/>
      <c r="K144" s="43"/>
      <c r="N144" s="31"/>
      <c r="O144" s="43"/>
    </row>
    <row r="145" spans="3:15" ht="12.5" x14ac:dyDescent="0.25">
      <c r="C145" s="31"/>
      <c r="I145" s="43"/>
      <c r="J145" s="43"/>
      <c r="K145" s="43"/>
      <c r="N145" s="31"/>
      <c r="O145" s="43"/>
    </row>
    <row r="146" spans="3:15" ht="12.5" x14ac:dyDescent="0.25">
      <c r="C146" s="31"/>
      <c r="I146" s="43"/>
      <c r="J146" s="43"/>
      <c r="K146" s="43"/>
      <c r="N146" s="31"/>
      <c r="O146" s="43"/>
    </row>
    <row r="147" spans="3:15" ht="12.5" x14ac:dyDescent="0.25">
      <c r="C147" s="31"/>
      <c r="I147" s="43"/>
      <c r="J147" s="43"/>
      <c r="K147" s="43"/>
      <c r="N147" s="31"/>
      <c r="O147" s="43"/>
    </row>
    <row r="148" spans="3:15" ht="12.5" x14ac:dyDescent="0.25">
      <c r="C148" s="31"/>
      <c r="I148" s="43"/>
      <c r="J148" s="43"/>
      <c r="K148" s="43"/>
      <c r="N148" s="31"/>
      <c r="O148" s="43"/>
    </row>
    <row r="149" spans="3:15" ht="12.5" x14ac:dyDescent="0.25">
      <c r="C149" s="31"/>
      <c r="I149" s="43"/>
      <c r="J149" s="43"/>
      <c r="K149" s="43"/>
      <c r="N149" s="31"/>
      <c r="O149" s="43"/>
    </row>
    <row r="150" spans="3:15" ht="12.5" x14ac:dyDescent="0.25">
      <c r="C150" s="31"/>
      <c r="I150" s="43"/>
      <c r="J150" s="43"/>
      <c r="K150" s="43"/>
      <c r="N150" s="31"/>
      <c r="O150" s="43"/>
    </row>
    <row r="151" spans="3:15" ht="12.5" x14ac:dyDescent="0.25">
      <c r="C151" s="31"/>
      <c r="I151" s="43"/>
      <c r="J151" s="43"/>
      <c r="K151" s="43"/>
      <c r="N151" s="31"/>
      <c r="O151" s="43"/>
    </row>
    <row r="152" spans="3:15" ht="12.5" x14ac:dyDescent="0.25">
      <c r="C152" s="31"/>
      <c r="I152" s="43"/>
      <c r="J152" s="43"/>
      <c r="K152" s="43"/>
      <c r="N152" s="31"/>
      <c r="O152" s="43"/>
    </row>
    <row r="153" spans="3:15" ht="12.5" x14ac:dyDescent="0.25">
      <c r="C153" s="31"/>
      <c r="I153" s="43"/>
      <c r="J153" s="43"/>
      <c r="K153" s="43"/>
      <c r="N153" s="31"/>
      <c r="O153" s="43"/>
    </row>
    <row r="154" spans="3:15" ht="12.5" x14ac:dyDescent="0.25">
      <c r="C154" s="31"/>
      <c r="I154" s="43"/>
      <c r="J154" s="43"/>
      <c r="K154" s="43"/>
      <c r="N154" s="31"/>
      <c r="O154" s="43"/>
    </row>
    <row r="155" spans="3:15" ht="12.5" x14ac:dyDescent="0.25">
      <c r="C155" s="31"/>
      <c r="I155" s="43"/>
      <c r="J155" s="43"/>
      <c r="K155" s="43"/>
      <c r="N155" s="31"/>
      <c r="O155" s="43"/>
    </row>
    <row r="156" spans="3:15" ht="12.5" x14ac:dyDescent="0.25">
      <c r="C156" s="31"/>
      <c r="I156" s="43"/>
      <c r="J156" s="43"/>
      <c r="K156" s="43"/>
      <c r="N156" s="31"/>
      <c r="O156" s="43"/>
    </row>
    <row r="157" spans="3:15" ht="12.5" x14ac:dyDescent="0.25">
      <c r="C157" s="31"/>
      <c r="I157" s="43"/>
      <c r="J157" s="43"/>
      <c r="K157" s="43"/>
      <c r="N157" s="31"/>
      <c r="O157" s="43"/>
    </row>
    <row r="158" spans="3:15" ht="12.5" x14ac:dyDescent="0.25">
      <c r="C158" s="31"/>
      <c r="I158" s="43"/>
      <c r="J158" s="43"/>
      <c r="K158" s="43"/>
      <c r="N158" s="31"/>
      <c r="O158" s="43"/>
    </row>
    <row r="159" spans="3:15" ht="12.5" x14ac:dyDescent="0.25">
      <c r="C159" s="31"/>
      <c r="I159" s="43"/>
      <c r="J159" s="43"/>
      <c r="K159" s="43"/>
      <c r="N159" s="31"/>
      <c r="O159" s="43"/>
    </row>
    <row r="160" spans="3:15" ht="12.5" x14ac:dyDescent="0.25">
      <c r="C160" s="31"/>
      <c r="I160" s="43"/>
      <c r="J160" s="43"/>
      <c r="K160" s="43"/>
      <c r="N160" s="31"/>
      <c r="O160" s="43"/>
    </row>
    <row r="161" spans="3:15" ht="12.5" x14ac:dyDescent="0.25">
      <c r="C161" s="31"/>
      <c r="I161" s="43"/>
      <c r="J161" s="43"/>
      <c r="K161" s="43"/>
      <c r="N161" s="31"/>
      <c r="O161" s="43"/>
    </row>
    <row r="162" spans="3:15" ht="12.5" x14ac:dyDescent="0.25">
      <c r="C162" s="31"/>
      <c r="I162" s="43"/>
      <c r="J162" s="43"/>
      <c r="K162" s="43"/>
      <c r="N162" s="31"/>
      <c r="O162" s="43"/>
    </row>
    <row r="163" spans="3:15" ht="12.5" x14ac:dyDescent="0.25">
      <c r="C163" s="31"/>
      <c r="I163" s="43"/>
      <c r="J163" s="43"/>
      <c r="K163" s="43"/>
      <c r="N163" s="31"/>
      <c r="O163" s="43"/>
    </row>
    <row r="164" spans="3:15" ht="12.5" x14ac:dyDescent="0.25">
      <c r="C164" s="31"/>
      <c r="I164" s="43"/>
      <c r="J164" s="43"/>
      <c r="K164" s="43"/>
      <c r="N164" s="31"/>
      <c r="O164" s="43"/>
    </row>
    <row r="165" spans="3:15" ht="12.5" x14ac:dyDescent="0.25">
      <c r="C165" s="31"/>
      <c r="I165" s="43"/>
      <c r="J165" s="43"/>
      <c r="K165" s="43"/>
      <c r="N165" s="31"/>
      <c r="O165" s="43"/>
    </row>
    <row r="166" spans="3:15" ht="12.5" x14ac:dyDescent="0.25">
      <c r="C166" s="31"/>
      <c r="I166" s="43"/>
      <c r="J166" s="43"/>
      <c r="K166" s="43"/>
      <c r="N166" s="31"/>
      <c r="O166" s="43"/>
    </row>
    <row r="167" spans="3:15" ht="12.5" x14ac:dyDescent="0.25">
      <c r="C167" s="31"/>
      <c r="I167" s="43"/>
      <c r="J167" s="43"/>
      <c r="K167" s="43"/>
      <c r="N167" s="31"/>
      <c r="O167" s="43"/>
    </row>
    <row r="168" spans="3:15" ht="12.5" x14ac:dyDescent="0.25">
      <c r="C168" s="31"/>
      <c r="I168" s="43"/>
      <c r="J168" s="43"/>
      <c r="K168" s="43"/>
      <c r="N168" s="31"/>
      <c r="O168" s="43"/>
    </row>
    <row r="169" spans="3:15" ht="12.5" x14ac:dyDescent="0.25">
      <c r="C169" s="31"/>
      <c r="I169" s="43"/>
      <c r="J169" s="43"/>
      <c r="K169" s="43"/>
      <c r="N169" s="31"/>
      <c r="O169" s="43"/>
    </row>
    <row r="170" spans="3:15" ht="12.5" x14ac:dyDescent="0.25">
      <c r="C170" s="31"/>
      <c r="I170" s="43"/>
      <c r="J170" s="43"/>
      <c r="K170" s="43"/>
      <c r="N170" s="31"/>
      <c r="O170" s="43"/>
    </row>
    <row r="171" spans="3:15" ht="12.5" x14ac:dyDescent="0.25">
      <c r="C171" s="31"/>
      <c r="I171" s="43"/>
      <c r="J171" s="43"/>
      <c r="K171" s="43"/>
      <c r="N171" s="31"/>
      <c r="O171" s="43"/>
    </row>
    <row r="172" spans="3:15" ht="12.5" x14ac:dyDescent="0.25">
      <c r="C172" s="31"/>
      <c r="I172" s="43"/>
      <c r="J172" s="43"/>
      <c r="K172" s="43"/>
      <c r="N172" s="31"/>
      <c r="O172" s="43"/>
    </row>
    <row r="173" spans="3:15" ht="12.5" x14ac:dyDescent="0.25">
      <c r="C173" s="31"/>
      <c r="I173" s="43"/>
      <c r="J173" s="43"/>
      <c r="K173" s="43"/>
      <c r="N173" s="31"/>
      <c r="O173" s="43"/>
    </row>
    <row r="174" spans="3:15" ht="12.5" x14ac:dyDescent="0.25">
      <c r="C174" s="31"/>
      <c r="I174" s="43"/>
      <c r="J174" s="43"/>
      <c r="K174" s="43"/>
      <c r="N174" s="31"/>
      <c r="O174" s="43"/>
    </row>
    <row r="175" spans="3:15" ht="12.5" x14ac:dyDescent="0.25">
      <c r="C175" s="31"/>
      <c r="I175" s="43"/>
      <c r="J175" s="43"/>
      <c r="K175" s="43"/>
      <c r="N175" s="31"/>
      <c r="O175" s="43"/>
    </row>
    <row r="176" spans="3:15" ht="12.5" x14ac:dyDescent="0.25">
      <c r="C176" s="31"/>
      <c r="I176" s="43"/>
      <c r="J176" s="43"/>
      <c r="K176" s="43"/>
      <c r="N176" s="31"/>
      <c r="O176" s="43"/>
    </row>
    <row r="177" spans="3:15" ht="12.5" x14ac:dyDescent="0.25">
      <c r="C177" s="31"/>
      <c r="I177" s="43"/>
      <c r="J177" s="43"/>
      <c r="K177" s="43"/>
      <c r="N177" s="31"/>
      <c r="O177" s="43"/>
    </row>
    <row r="178" spans="3:15" ht="12.5" x14ac:dyDescent="0.25">
      <c r="C178" s="31"/>
      <c r="I178" s="43"/>
      <c r="J178" s="43"/>
      <c r="K178" s="43"/>
      <c r="N178" s="31"/>
      <c r="O178" s="43"/>
    </row>
    <row r="179" spans="3:15" ht="12.5" x14ac:dyDescent="0.25">
      <c r="C179" s="31"/>
      <c r="I179" s="43"/>
      <c r="J179" s="43"/>
      <c r="K179" s="43"/>
      <c r="N179" s="31"/>
      <c r="O179" s="43"/>
    </row>
    <row r="180" spans="3:15" ht="12.5" x14ac:dyDescent="0.25">
      <c r="C180" s="31"/>
      <c r="I180" s="43"/>
      <c r="J180" s="43"/>
      <c r="K180" s="43"/>
      <c r="N180" s="31"/>
      <c r="O180" s="43"/>
    </row>
    <row r="181" spans="3:15" ht="12.5" x14ac:dyDescent="0.25">
      <c r="C181" s="31"/>
      <c r="I181" s="43"/>
      <c r="J181" s="43"/>
      <c r="K181" s="43"/>
      <c r="N181" s="31"/>
      <c r="O181" s="43"/>
    </row>
    <row r="182" spans="3:15" ht="12.5" x14ac:dyDescent="0.25">
      <c r="C182" s="31"/>
      <c r="I182" s="43"/>
      <c r="J182" s="43"/>
      <c r="K182" s="43"/>
      <c r="N182" s="31"/>
      <c r="O182" s="43"/>
    </row>
    <row r="183" spans="3:15" ht="12.5" x14ac:dyDescent="0.25">
      <c r="C183" s="31"/>
      <c r="I183" s="43"/>
      <c r="J183" s="43"/>
      <c r="K183" s="43"/>
      <c r="N183" s="31"/>
      <c r="O183" s="43"/>
    </row>
    <row r="184" spans="3:15" ht="12.5" x14ac:dyDescent="0.25">
      <c r="C184" s="31"/>
      <c r="I184" s="43"/>
      <c r="J184" s="43"/>
      <c r="K184" s="43"/>
      <c r="N184" s="31"/>
      <c r="O184" s="43"/>
    </row>
    <row r="185" spans="3:15" ht="12.5" x14ac:dyDescent="0.25">
      <c r="C185" s="31"/>
      <c r="I185" s="43"/>
      <c r="J185" s="43"/>
      <c r="K185" s="43"/>
      <c r="N185" s="31"/>
      <c r="O185" s="43"/>
    </row>
    <row r="186" spans="3:15" ht="12.5" x14ac:dyDescent="0.25">
      <c r="C186" s="31"/>
      <c r="I186" s="43"/>
      <c r="J186" s="43"/>
      <c r="K186" s="43"/>
      <c r="N186" s="31"/>
      <c r="O186" s="43"/>
    </row>
    <row r="187" spans="3:15" ht="12.5" x14ac:dyDescent="0.25">
      <c r="C187" s="31"/>
      <c r="I187" s="43"/>
      <c r="J187" s="43"/>
      <c r="K187" s="43"/>
      <c r="N187" s="31"/>
      <c r="O187" s="43"/>
    </row>
    <row r="188" spans="3:15" ht="12.5" x14ac:dyDescent="0.25">
      <c r="C188" s="31"/>
      <c r="I188" s="43"/>
      <c r="J188" s="43"/>
      <c r="K188" s="43"/>
      <c r="N188" s="31"/>
      <c r="O188" s="43"/>
    </row>
    <row r="189" spans="3:15" ht="12.5" x14ac:dyDescent="0.25">
      <c r="C189" s="31"/>
      <c r="I189" s="43"/>
      <c r="J189" s="43"/>
      <c r="K189" s="43"/>
      <c r="N189" s="31"/>
      <c r="O189" s="43"/>
    </row>
    <row r="190" spans="3:15" ht="12.5" x14ac:dyDescent="0.25">
      <c r="C190" s="31"/>
      <c r="I190" s="43"/>
      <c r="J190" s="43"/>
      <c r="K190" s="43"/>
      <c r="N190" s="31"/>
      <c r="O190" s="43"/>
    </row>
    <row r="191" spans="3:15" ht="12.5" x14ac:dyDescent="0.25">
      <c r="C191" s="31"/>
      <c r="I191" s="43"/>
      <c r="J191" s="43"/>
      <c r="K191" s="43"/>
      <c r="N191" s="31"/>
      <c r="O191" s="43"/>
    </row>
    <row r="192" spans="3:15" ht="12.5" x14ac:dyDescent="0.25">
      <c r="C192" s="31"/>
      <c r="I192" s="43"/>
      <c r="J192" s="43"/>
      <c r="K192" s="43"/>
      <c r="N192" s="31"/>
      <c r="O192" s="43"/>
    </row>
    <row r="193" spans="3:15" ht="12.5" x14ac:dyDescent="0.25">
      <c r="C193" s="31"/>
      <c r="I193" s="43"/>
      <c r="J193" s="43"/>
      <c r="K193" s="43"/>
      <c r="N193" s="31"/>
      <c r="O193" s="43"/>
    </row>
    <row r="194" spans="3:15" ht="12.5" x14ac:dyDescent="0.25">
      <c r="C194" s="31"/>
      <c r="I194" s="43"/>
      <c r="J194" s="43"/>
      <c r="K194" s="43"/>
      <c r="N194" s="31"/>
      <c r="O194" s="43"/>
    </row>
    <row r="195" spans="3:15" ht="12.5" x14ac:dyDescent="0.25">
      <c r="C195" s="31"/>
      <c r="I195" s="43"/>
      <c r="J195" s="43"/>
      <c r="K195" s="43"/>
      <c r="N195" s="31"/>
      <c r="O195" s="43"/>
    </row>
    <row r="196" spans="3:15" ht="12.5" x14ac:dyDescent="0.25">
      <c r="C196" s="31"/>
      <c r="I196" s="43"/>
      <c r="J196" s="43"/>
      <c r="K196" s="43"/>
      <c r="N196" s="31"/>
      <c r="O196" s="43"/>
    </row>
    <row r="197" spans="3:15" ht="12.5" x14ac:dyDescent="0.25">
      <c r="C197" s="31"/>
      <c r="I197" s="43"/>
      <c r="J197" s="43"/>
      <c r="K197" s="43"/>
      <c r="N197" s="31"/>
      <c r="O197" s="43"/>
    </row>
    <row r="198" spans="3:15" ht="12.5" x14ac:dyDescent="0.25">
      <c r="C198" s="31"/>
      <c r="I198" s="43"/>
      <c r="J198" s="43"/>
      <c r="K198" s="43"/>
      <c r="N198" s="31"/>
      <c r="O198" s="43"/>
    </row>
    <row r="199" spans="3:15" ht="12.5" x14ac:dyDescent="0.25">
      <c r="C199" s="31"/>
      <c r="I199" s="43"/>
      <c r="J199" s="43"/>
      <c r="K199" s="43"/>
      <c r="N199" s="31"/>
      <c r="O199" s="43"/>
    </row>
    <row r="200" spans="3:15" ht="12.5" x14ac:dyDescent="0.25">
      <c r="C200" s="31"/>
      <c r="I200" s="43"/>
      <c r="J200" s="43"/>
      <c r="K200" s="43"/>
      <c r="N200" s="31"/>
      <c r="O200" s="43"/>
    </row>
    <row r="201" spans="3:15" ht="12.5" x14ac:dyDescent="0.25">
      <c r="C201" s="31"/>
      <c r="I201" s="43"/>
      <c r="J201" s="43"/>
      <c r="K201" s="43"/>
      <c r="N201" s="31"/>
      <c r="O201" s="43"/>
    </row>
    <row r="202" spans="3:15" ht="12.5" x14ac:dyDescent="0.25">
      <c r="C202" s="31"/>
      <c r="I202" s="43"/>
      <c r="J202" s="43"/>
      <c r="K202" s="43"/>
      <c r="N202" s="31"/>
      <c r="O202" s="43"/>
    </row>
    <row r="203" spans="3:15" ht="12.5" x14ac:dyDescent="0.25">
      <c r="C203" s="31"/>
      <c r="I203" s="43"/>
      <c r="J203" s="43"/>
      <c r="K203" s="43"/>
      <c r="N203" s="31"/>
      <c r="O203" s="43"/>
    </row>
    <row r="204" spans="3:15" ht="12.5" x14ac:dyDescent="0.25">
      <c r="C204" s="31"/>
      <c r="I204" s="43"/>
      <c r="J204" s="43"/>
      <c r="K204" s="43"/>
      <c r="N204" s="31"/>
      <c r="O204" s="43"/>
    </row>
    <row r="205" spans="3:15" ht="12.5" x14ac:dyDescent="0.25">
      <c r="C205" s="31"/>
      <c r="I205" s="43"/>
      <c r="J205" s="43"/>
      <c r="K205" s="43"/>
      <c r="N205" s="31"/>
      <c r="O205" s="43"/>
    </row>
    <row r="206" spans="3:15" ht="12.5" x14ac:dyDescent="0.25">
      <c r="C206" s="31"/>
      <c r="I206" s="43"/>
      <c r="J206" s="43"/>
      <c r="K206" s="43"/>
      <c r="N206" s="31"/>
      <c r="O206" s="43"/>
    </row>
    <row r="207" spans="3:15" ht="12.5" x14ac:dyDescent="0.25">
      <c r="C207" s="31"/>
      <c r="I207" s="43"/>
      <c r="J207" s="43"/>
      <c r="K207" s="43"/>
      <c r="N207" s="31"/>
      <c r="O207" s="43"/>
    </row>
    <row r="208" spans="3:15" ht="12.5" x14ac:dyDescent="0.25">
      <c r="C208" s="31"/>
      <c r="I208" s="43"/>
      <c r="J208" s="43"/>
      <c r="K208" s="43"/>
      <c r="N208" s="31"/>
      <c r="O208" s="43"/>
    </row>
    <row r="209" spans="3:15" ht="12.5" x14ac:dyDescent="0.25">
      <c r="C209" s="31"/>
      <c r="I209" s="43"/>
      <c r="J209" s="43"/>
      <c r="K209" s="43"/>
      <c r="N209" s="31"/>
      <c r="O209" s="43"/>
    </row>
    <row r="210" spans="3:15" ht="12.5" x14ac:dyDescent="0.25">
      <c r="C210" s="31"/>
      <c r="I210" s="43"/>
      <c r="J210" s="43"/>
      <c r="K210" s="43"/>
      <c r="N210" s="31"/>
      <c r="O210" s="43"/>
    </row>
    <row r="211" spans="3:15" ht="12.5" x14ac:dyDescent="0.25">
      <c r="C211" s="31"/>
      <c r="I211" s="43"/>
      <c r="J211" s="43"/>
      <c r="K211" s="43"/>
      <c r="N211" s="31"/>
      <c r="O211" s="43"/>
    </row>
    <row r="212" spans="3:15" ht="12.5" x14ac:dyDescent="0.25">
      <c r="C212" s="31"/>
      <c r="I212" s="43"/>
      <c r="J212" s="43"/>
      <c r="K212" s="43"/>
      <c r="N212" s="31"/>
      <c r="O212" s="43"/>
    </row>
    <row r="213" spans="3:15" ht="12.5" x14ac:dyDescent="0.25">
      <c r="C213" s="31"/>
      <c r="I213" s="43"/>
      <c r="J213" s="43"/>
      <c r="K213" s="43"/>
      <c r="N213" s="31"/>
      <c r="O213" s="43"/>
    </row>
    <row r="214" spans="3:15" ht="12.5" x14ac:dyDescent="0.25">
      <c r="C214" s="31"/>
      <c r="I214" s="43"/>
      <c r="J214" s="43"/>
      <c r="K214" s="43"/>
      <c r="N214" s="31"/>
      <c r="O214" s="43"/>
    </row>
    <row r="215" spans="3:15" ht="12.5" x14ac:dyDescent="0.25">
      <c r="C215" s="31"/>
      <c r="I215" s="43"/>
      <c r="J215" s="43"/>
      <c r="K215" s="43"/>
      <c r="N215" s="31"/>
      <c r="O215" s="43"/>
    </row>
    <row r="216" spans="3:15" ht="12.5" x14ac:dyDescent="0.25">
      <c r="C216" s="31"/>
      <c r="I216" s="43"/>
      <c r="J216" s="43"/>
      <c r="K216" s="43"/>
      <c r="N216" s="31"/>
      <c r="O216" s="43"/>
    </row>
    <row r="217" spans="3:15" ht="12.5" x14ac:dyDescent="0.25">
      <c r="C217" s="31"/>
      <c r="I217" s="43"/>
      <c r="J217" s="43"/>
      <c r="K217" s="43"/>
      <c r="N217" s="31"/>
      <c r="O217" s="43"/>
    </row>
    <row r="218" spans="3:15" ht="12.5" x14ac:dyDescent="0.25">
      <c r="C218" s="31"/>
      <c r="I218" s="43"/>
      <c r="J218" s="43"/>
      <c r="K218" s="43"/>
      <c r="N218" s="31"/>
      <c r="O218" s="43"/>
    </row>
    <row r="219" spans="3:15" ht="12.5" x14ac:dyDescent="0.25">
      <c r="C219" s="31"/>
      <c r="I219" s="43"/>
      <c r="J219" s="43"/>
      <c r="K219" s="43"/>
      <c r="N219" s="31"/>
      <c r="O219" s="43"/>
    </row>
    <row r="220" spans="3:15" ht="12.5" x14ac:dyDescent="0.25">
      <c r="C220" s="31"/>
      <c r="I220" s="43"/>
      <c r="J220" s="43"/>
      <c r="K220" s="43"/>
      <c r="N220" s="31"/>
      <c r="O220" s="43"/>
    </row>
    <row r="221" spans="3:15" ht="12.5" x14ac:dyDescent="0.25">
      <c r="C221" s="31"/>
      <c r="I221" s="43"/>
      <c r="J221" s="43"/>
      <c r="K221" s="43"/>
      <c r="N221" s="31"/>
      <c r="O221" s="43"/>
    </row>
    <row r="222" spans="3:15" ht="12.5" x14ac:dyDescent="0.25">
      <c r="C222" s="31"/>
      <c r="I222" s="43"/>
      <c r="J222" s="43"/>
      <c r="K222" s="43"/>
      <c r="N222" s="31"/>
      <c r="O222" s="43"/>
    </row>
    <row r="223" spans="3:15" ht="12.5" x14ac:dyDescent="0.25">
      <c r="C223" s="31"/>
      <c r="I223" s="43"/>
      <c r="J223" s="43"/>
      <c r="K223" s="43"/>
      <c r="N223" s="31"/>
      <c r="O223" s="43"/>
    </row>
    <row r="224" spans="3:15" ht="12.5" x14ac:dyDescent="0.25">
      <c r="C224" s="31"/>
      <c r="I224" s="43"/>
      <c r="J224" s="43"/>
      <c r="K224" s="43"/>
      <c r="N224" s="31"/>
      <c r="O224" s="43"/>
    </row>
    <row r="225" spans="3:15" ht="12.5" x14ac:dyDescent="0.25">
      <c r="C225" s="31"/>
      <c r="I225" s="43"/>
      <c r="J225" s="43"/>
      <c r="K225" s="43"/>
      <c r="N225" s="31"/>
      <c r="O225" s="43"/>
    </row>
    <row r="226" spans="3:15" ht="12.5" x14ac:dyDescent="0.25">
      <c r="C226" s="31"/>
      <c r="I226" s="43"/>
      <c r="J226" s="43"/>
      <c r="K226" s="43"/>
      <c r="N226" s="31"/>
      <c r="O226" s="43"/>
    </row>
    <row r="227" spans="3:15" ht="12.5" x14ac:dyDescent="0.25">
      <c r="C227" s="31"/>
      <c r="I227" s="43"/>
      <c r="J227" s="43"/>
      <c r="K227" s="43"/>
      <c r="N227" s="31"/>
      <c r="O227" s="43"/>
    </row>
    <row r="228" spans="3:15" ht="12.5" x14ac:dyDescent="0.25">
      <c r="C228" s="31"/>
      <c r="I228" s="43"/>
      <c r="J228" s="43"/>
      <c r="K228" s="43"/>
      <c r="N228" s="31"/>
      <c r="O228" s="43"/>
    </row>
    <row r="229" spans="3:15" ht="12.5" x14ac:dyDescent="0.25">
      <c r="C229" s="31"/>
      <c r="I229" s="43"/>
      <c r="J229" s="43"/>
      <c r="K229" s="43"/>
      <c r="N229" s="31"/>
      <c r="O229" s="43"/>
    </row>
    <row r="230" spans="3:15" ht="12.5" x14ac:dyDescent="0.25">
      <c r="C230" s="31"/>
      <c r="I230" s="43"/>
      <c r="J230" s="43"/>
      <c r="K230" s="43"/>
      <c r="N230" s="31"/>
      <c r="O230" s="43"/>
    </row>
    <row r="231" spans="3:15" ht="12.5" x14ac:dyDescent="0.25">
      <c r="C231" s="31"/>
      <c r="I231" s="43"/>
      <c r="J231" s="43"/>
      <c r="K231" s="43"/>
      <c r="N231" s="31"/>
      <c r="O231" s="43"/>
    </row>
    <row r="232" spans="3:15" ht="12.5" x14ac:dyDescent="0.25">
      <c r="C232" s="31"/>
      <c r="I232" s="43"/>
      <c r="J232" s="43"/>
      <c r="K232" s="43"/>
      <c r="N232" s="31"/>
      <c r="O232" s="43"/>
    </row>
    <row r="233" spans="3:15" ht="12.5" x14ac:dyDescent="0.25">
      <c r="C233" s="31"/>
      <c r="I233" s="43"/>
      <c r="J233" s="43"/>
      <c r="K233" s="43"/>
      <c r="N233" s="31"/>
      <c r="O233" s="43"/>
    </row>
    <row r="234" spans="3:15" ht="12.5" x14ac:dyDescent="0.25">
      <c r="C234" s="31"/>
      <c r="I234" s="43"/>
      <c r="J234" s="43"/>
      <c r="K234" s="43"/>
      <c r="N234" s="31"/>
      <c r="O234" s="43"/>
    </row>
    <row r="235" spans="3:15" ht="12.5" x14ac:dyDescent="0.25">
      <c r="C235" s="31"/>
      <c r="I235" s="43"/>
      <c r="J235" s="43"/>
      <c r="K235" s="43"/>
      <c r="N235" s="31"/>
      <c r="O235" s="43"/>
    </row>
    <row r="236" spans="3:15" ht="12.5" x14ac:dyDescent="0.25">
      <c r="C236" s="31"/>
      <c r="I236" s="43"/>
      <c r="J236" s="43"/>
      <c r="K236" s="43"/>
      <c r="N236" s="31"/>
      <c r="O236" s="43"/>
    </row>
    <row r="237" spans="3:15" ht="12.5" x14ac:dyDescent="0.25">
      <c r="C237" s="31"/>
      <c r="I237" s="43"/>
      <c r="J237" s="43"/>
      <c r="K237" s="43"/>
      <c r="N237" s="31"/>
      <c r="O237" s="43"/>
    </row>
    <row r="238" spans="3:15" ht="12.5" x14ac:dyDescent="0.25">
      <c r="C238" s="31"/>
      <c r="I238" s="43"/>
      <c r="J238" s="43"/>
      <c r="K238" s="43"/>
      <c r="N238" s="31"/>
      <c r="O238" s="43"/>
    </row>
    <row r="239" spans="3:15" ht="12.5" x14ac:dyDescent="0.25">
      <c r="C239" s="31"/>
      <c r="I239" s="43"/>
      <c r="J239" s="43"/>
      <c r="K239" s="43"/>
      <c r="N239" s="31"/>
      <c r="O239" s="43"/>
    </row>
    <row r="240" spans="3:15" ht="12.5" x14ac:dyDescent="0.25">
      <c r="C240" s="31"/>
      <c r="I240" s="43"/>
      <c r="J240" s="43"/>
      <c r="K240" s="43"/>
      <c r="N240" s="31"/>
      <c r="O240" s="43"/>
    </row>
    <row r="241" spans="3:15" ht="12.5" x14ac:dyDescent="0.25">
      <c r="C241" s="31"/>
      <c r="I241" s="43"/>
      <c r="J241" s="43"/>
      <c r="K241" s="43"/>
      <c r="N241" s="31"/>
      <c r="O241" s="43"/>
    </row>
    <row r="242" spans="3:15" ht="12.5" x14ac:dyDescent="0.25">
      <c r="C242" s="31"/>
      <c r="I242" s="43"/>
      <c r="J242" s="43"/>
      <c r="K242" s="43"/>
      <c r="N242" s="31"/>
      <c r="O242" s="43"/>
    </row>
    <row r="243" spans="3:15" ht="12.5" x14ac:dyDescent="0.25">
      <c r="C243" s="31"/>
      <c r="I243" s="43"/>
      <c r="J243" s="43"/>
      <c r="K243" s="43"/>
      <c r="N243" s="31"/>
      <c r="O243" s="43"/>
    </row>
    <row r="244" spans="3:15" ht="12.5" x14ac:dyDescent="0.25">
      <c r="C244" s="31"/>
      <c r="I244" s="43"/>
      <c r="J244" s="43"/>
      <c r="K244" s="43"/>
      <c r="N244" s="31"/>
      <c r="O244" s="43"/>
    </row>
    <row r="245" spans="3:15" ht="12.5" x14ac:dyDescent="0.25">
      <c r="C245" s="31"/>
      <c r="I245" s="43"/>
      <c r="J245" s="43"/>
      <c r="K245" s="43"/>
      <c r="N245" s="31"/>
      <c r="O245" s="43"/>
    </row>
    <row r="246" spans="3:15" ht="12.5" x14ac:dyDescent="0.25">
      <c r="C246" s="31"/>
      <c r="I246" s="43"/>
      <c r="J246" s="43"/>
      <c r="K246" s="43"/>
      <c r="N246" s="31"/>
      <c r="O246" s="43"/>
    </row>
    <row r="247" spans="3:15" ht="12.5" x14ac:dyDescent="0.25">
      <c r="C247" s="31"/>
      <c r="I247" s="43"/>
      <c r="J247" s="43"/>
      <c r="K247" s="43"/>
      <c r="N247" s="31"/>
      <c r="O247" s="43"/>
    </row>
    <row r="248" spans="3:15" ht="12.5" x14ac:dyDescent="0.25">
      <c r="C248" s="31"/>
      <c r="I248" s="43"/>
      <c r="J248" s="43"/>
      <c r="K248" s="43"/>
      <c r="N248" s="31"/>
      <c r="O248" s="43"/>
    </row>
    <row r="249" spans="3:15" ht="12.5" x14ac:dyDescent="0.25">
      <c r="C249" s="31"/>
      <c r="I249" s="43"/>
      <c r="J249" s="43"/>
      <c r="K249" s="43"/>
      <c r="N249" s="31"/>
      <c r="O249" s="43"/>
    </row>
    <row r="250" spans="3:15" ht="12.5" x14ac:dyDescent="0.25">
      <c r="C250" s="31"/>
      <c r="I250" s="43"/>
      <c r="J250" s="43"/>
      <c r="K250" s="43"/>
      <c r="N250" s="31"/>
      <c r="O250" s="43"/>
    </row>
    <row r="251" spans="3:15" ht="12.5" x14ac:dyDescent="0.25">
      <c r="C251" s="31"/>
      <c r="I251" s="43"/>
      <c r="J251" s="43"/>
      <c r="K251" s="43"/>
      <c r="N251" s="31"/>
      <c r="O251" s="43"/>
    </row>
    <row r="252" spans="3:15" ht="12.5" x14ac:dyDescent="0.25">
      <c r="C252" s="31"/>
      <c r="I252" s="43"/>
      <c r="J252" s="43"/>
      <c r="K252" s="43"/>
      <c r="N252" s="31"/>
      <c r="O252" s="43"/>
    </row>
    <row r="253" spans="3:15" ht="12.5" x14ac:dyDescent="0.25">
      <c r="C253" s="31"/>
      <c r="I253" s="43"/>
      <c r="J253" s="43"/>
      <c r="K253" s="43"/>
      <c r="N253" s="31"/>
      <c r="O253" s="43"/>
    </row>
    <row r="254" spans="3:15" ht="12.5" x14ac:dyDescent="0.25">
      <c r="C254" s="31"/>
      <c r="I254" s="43"/>
      <c r="J254" s="43"/>
      <c r="K254" s="43"/>
      <c r="N254" s="31"/>
      <c r="O254" s="43"/>
    </row>
    <row r="255" spans="3:15" ht="12.5" x14ac:dyDescent="0.25">
      <c r="C255" s="31"/>
      <c r="I255" s="43"/>
      <c r="J255" s="43"/>
      <c r="K255" s="43"/>
      <c r="N255" s="31"/>
      <c r="O255" s="43"/>
    </row>
    <row r="256" spans="3:15" ht="12.5" x14ac:dyDescent="0.25">
      <c r="C256" s="31"/>
      <c r="I256" s="43"/>
      <c r="J256" s="43"/>
      <c r="K256" s="43"/>
      <c r="N256" s="31"/>
      <c r="O256" s="43"/>
    </row>
    <row r="257" spans="3:15" ht="12.5" x14ac:dyDescent="0.25">
      <c r="C257" s="31"/>
      <c r="I257" s="43"/>
      <c r="J257" s="43"/>
      <c r="K257" s="43"/>
      <c r="N257" s="31"/>
      <c r="O257" s="43"/>
    </row>
    <row r="258" spans="3:15" ht="12.5" x14ac:dyDescent="0.25">
      <c r="C258" s="31"/>
      <c r="I258" s="43"/>
      <c r="J258" s="43"/>
      <c r="K258" s="43"/>
      <c r="N258" s="31"/>
      <c r="O258" s="43"/>
    </row>
    <row r="259" spans="3:15" ht="12.5" x14ac:dyDescent="0.25">
      <c r="C259" s="31"/>
      <c r="I259" s="43"/>
      <c r="J259" s="43"/>
      <c r="K259" s="43"/>
      <c r="N259" s="31"/>
      <c r="O259" s="43"/>
    </row>
    <row r="260" spans="3:15" ht="12.5" x14ac:dyDescent="0.25">
      <c r="C260" s="31"/>
      <c r="I260" s="43"/>
      <c r="J260" s="43"/>
      <c r="K260" s="43"/>
      <c r="N260" s="31"/>
      <c r="O260" s="43"/>
    </row>
    <row r="261" spans="3:15" ht="12.5" x14ac:dyDescent="0.25">
      <c r="C261" s="31"/>
      <c r="I261" s="43"/>
      <c r="J261" s="43"/>
      <c r="K261" s="43"/>
      <c r="N261" s="31"/>
      <c r="O261" s="43"/>
    </row>
    <row r="262" spans="3:15" ht="12.5" x14ac:dyDescent="0.25">
      <c r="C262" s="31"/>
      <c r="I262" s="43"/>
      <c r="J262" s="43"/>
      <c r="K262" s="43"/>
      <c r="N262" s="31"/>
      <c r="O262" s="43"/>
    </row>
    <row r="263" spans="3:15" ht="12.5" x14ac:dyDescent="0.25">
      <c r="C263" s="31"/>
      <c r="I263" s="43"/>
      <c r="J263" s="43"/>
      <c r="K263" s="43"/>
      <c r="N263" s="31"/>
      <c r="O263" s="43"/>
    </row>
    <row r="264" spans="3:15" ht="12.5" x14ac:dyDescent="0.25">
      <c r="C264" s="31"/>
      <c r="I264" s="43"/>
      <c r="J264" s="43"/>
      <c r="K264" s="43"/>
      <c r="N264" s="31"/>
      <c r="O264" s="43"/>
    </row>
    <row r="265" spans="3:15" ht="12.5" x14ac:dyDescent="0.25">
      <c r="C265" s="31"/>
      <c r="I265" s="43"/>
      <c r="J265" s="43"/>
      <c r="K265" s="43"/>
      <c r="N265" s="31"/>
      <c r="O265" s="43"/>
    </row>
    <row r="266" spans="3:15" ht="12.5" x14ac:dyDescent="0.25">
      <c r="C266" s="31"/>
      <c r="I266" s="43"/>
      <c r="J266" s="43"/>
      <c r="K266" s="43"/>
      <c r="N266" s="31"/>
      <c r="O266" s="43"/>
    </row>
    <row r="267" spans="3:15" ht="12.5" x14ac:dyDescent="0.25">
      <c r="C267" s="31"/>
      <c r="I267" s="43"/>
      <c r="J267" s="43"/>
      <c r="K267" s="43"/>
      <c r="N267" s="31"/>
      <c r="O267" s="43"/>
    </row>
    <row r="268" spans="3:15" ht="12.5" x14ac:dyDescent="0.25">
      <c r="C268" s="31"/>
      <c r="I268" s="43"/>
      <c r="J268" s="43"/>
      <c r="K268" s="43"/>
      <c r="N268" s="31"/>
      <c r="O268" s="43"/>
    </row>
    <row r="269" spans="3:15" ht="12.5" x14ac:dyDescent="0.25">
      <c r="C269" s="31"/>
      <c r="I269" s="43"/>
      <c r="J269" s="43"/>
      <c r="K269" s="43"/>
      <c r="N269" s="31"/>
      <c r="O269" s="43"/>
    </row>
    <row r="270" spans="3:15" ht="12.5" x14ac:dyDescent="0.25">
      <c r="C270" s="31"/>
      <c r="I270" s="43"/>
      <c r="J270" s="43"/>
      <c r="K270" s="43"/>
      <c r="N270" s="31"/>
      <c r="O270" s="43"/>
    </row>
    <row r="271" spans="3:15" ht="12.5" x14ac:dyDescent="0.25">
      <c r="C271" s="31"/>
      <c r="I271" s="43"/>
      <c r="J271" s="43"/>
      <c r="K271" s="43"/>
      <c r="N271" s="31"/>
      <c r="O271" s="43"/>
    </row>
    <row r="272" spans="3:15" ht="12.5" x14ac:dyDescent="0.25">
      <c r="C272" s="31"/>
      <c r="I272" s="43"/>
      <c r="J272" s="43"/>
      <c r="K272" s="43"/>
      <c r="N272" s="31"/>
      <c r="O272" s="43"/>
    </row>
    <row r="273" spans="3:15" ht="12.5" x14ac:dyDescent="0.25">
      <c r="C273" s="31"/>
      <c r="I273" s="43"/>
      <c r="J273" s="43"/>
      <c r="K273" s="43"/>
      <c r="N273" s="31"/>
      <c r="O273" s="43"/>
    </row>
    <row r="274" spans="3:15" ht="12.5" x14ac:dyDescent="0.25">
      <c r="C274" s="31"/>
      <c r="I274" s="43"/>
      <c r="J274" s="43"/>
      <c r="K274" s="43"/>
      <c r="N274" s="31"/>
      <c r="O274" s="43"/>
    </row>
    <row r="275" spans="3:15" ht="12.5" x14ac:dyDescent="0.25">
      <c r="C275" s="31"/>
      <c r="I275" s="43"/>
      <c r="J275" s="43"/>
      <c r="K275" s="43"/>
      <c r="N275" s="31"/>
      <c r="O275" s="43"/>
    </row>
    <row r="276" spans="3:15" ht="12.5" x14ac:dyDescent="0.25">
      <c r="C276" s="31"/>
      <c r="I276" s="43"/>
      <c r="J276" s="43"/>
      <c r="K276" s="43"/>
      <c r="N276" s="31"/>
      <c r="O276" s="43"/>
    </row>
    <row r="277" spans="3:15" ht="12.5" x14ac:dyDescent="0.25">
      <c r="C277" s="31"/>
      <c r="I277" s="43"/>
      <c r="J277" s="43"/>
      <c r="K277" s="43"/>
      <c r="N277" s="31"/>
      <c r="O277" s="43"/>
    </row>
    <row r="278" spans="3:15" ht="12.5" x14ac:dyDescent="0.25">
      <c r="C278" s="31"/>
      <c r="I278" s="43"/>
      <c r="J278" s="43"/>
      <c r="K278" s="43"/>
      <c r="N278" s="31"/>
      <c r="O278" s="43"/>
    </row>
    <row r="279" spans="3:15" ht="12.5" x14ac:dyDescent="0.25">
      <c r="C279" s="31"/>
      <c r="I279" s="43"/>
      <c r="J279" s="43"/>
      <c r="K279" s="43"/>
      <c r="N279" s="31"/>
      <c r="O279" s="43"/>
    </row>
    <row r="280" spans="3:15" ht="12.5" x14ac:dyDescent="0.25">
      <c r="C280" s="31"/>
      <c r="I280" s="43"/>
      <c r="J280" s="43"/>
      <c r="K280" s="43"/>
      <c r="N280" s="31"/>
      <c r="O280" s="43"/>
    </row>
    <row r="281" spans="3:15" ht="12.5" x14ac:dyDescent="0.25">
      <c r="C281" s="31"/>
      <c r="I281" s="43"/>
      <c r="J281" s="43"/>
      <c r="K281" s="43"/>
      <c r="N281" s="31"/>
      <c r="O281" s="43"/>
    </row>
    <row r="282" spans="3:15" ht="12.5" x14ac:dyDescent="0.25">
      <c r="C282" s="31"/>
      <c r="I282" s="43"/>
      <c r="J282" s="43"/>
      <c r="K282" s="43"/>
      <c r="N282" s="31"/>
      <c r="O282" s="43"/>
    </row>
    <row r="283" spans="3:15" ht="12.5" x14ac:dyDescent="0.25">
      <c r="C283" s="31"/>
      <c r="I283" s="43"/>
      <c r="J283" s="43"/>
      <c r="K283" s="43"/>
      <c r="N283" s="31"/>
      <c r="O283" s="43"/>
    </row>
    <row r="284" spans="3:15" ht="12.5" x14ac:dyDescent="0.25">
      <c r="C284" s="31"/>
      <c r="I284" s="43"/>
      <c r="J284" s="43"/>
      <c r="K284" s="43"/>
      <c r="N284" s="31"/>
      <c r="O284" s="43"/>
    </row>
    <row r="285" spans="3:15" ht="12.5" x14ac:dyDescent="0.25">
      <c r="C285" s="31"/>
      <c r="I285" s="43"/>
      <c r="J285" s="43"/>
      <c r="K285" s="43"/>
      <c r="N285" s="31"/>
      <c r="O285" s="43"/>
    </row>
    <row r="286" spans="3:15" ht="12.5" x14ac:dyDescent="0.25">
      <c r="C286" s="31"/>
      <c r="I286" s="43"/>
      <c r="J286" s="43"/>
      <c r="K286" s="43"/>
      <c r="N286" s="31"/>
      <c r="O286" s="43"/>
    </row>
    <row r="287" spans="3:15" ht="12.5" x14ac:dyDescent="0.25">
      <c r="C287" s="31"/>
      <c r="I287" s="43"/>
      <c r="J287" s="43"/>
      <c r="K287" s="43"/>
      <c r="N287" s="31"/>
      <c r="O287" s="43"/>
    </row>
    <row r="288" spans="3:15" ht="12.5" x14ac:dyDescent="0.25">
      <c r="C288" s="31"/>
      <c r="I288" s="43"/>
      <c r="J288" s="43"/>
      <c r="K288" s="43"/>
      <c r="N288" s="31"/>
      <c r="O288" s="43"/>
    </row>
    <row r="289" spans="3:15" ht="12.5" x14ac:dyDescent="0.25">
      <c r="C289" s="31"/>
      <c r="I289" s="43"/>
      <c r="J289" s="43"/>
      <c r="K289" s="43"/>
      <c r="N289" s="31"/>
      <c r="O289" s="43"/>
    </row>
    <row r="290" spans="3:15" ht="12.5" x14ac:dyDescent="0.25">
      <c r="C290" s="31"/>
      <c r="I290" s="43"/>
      <c r="J290" s="43"/>
      <c r="K290" s="43"/>
      <c r="N290" s="31"/>
      <c r="O290" s="43"/>
    </row>
    <row r="291" spans="3:15" ht="12.5" x14ac:dyDescent="0.25">
      <c r="C291" s="31"/>
      <c r="I291" s="43"/>
      <c r="J291" s="43"/>
      <c r="K291" s="43"/>
      <c r="N291" s="31"/>
      <c r="O291" s="43"/>
    </row>
    <row r="292" spans="3:15" ht="12.5" x14ac:dyDescent="0.25">
      <c r="C292" s="31"/>
      <c r="I292" s="43"/>
      <c r="J292" s="43"/>
      <c r="K292" s="43"/>
      <c r="N292" s="31"/>
      <c r="O292" s="43"/>
    </row>
    <row r="293" spans="3:15" ht="12.5" x14ac:dyDescent="0.25">
      <c r="C293" s="31"/>
      <c r="I293" s="43"/>
      <c r="J293" s="43"/>
      <c r="K293" s="43"/>
      <c r="N293" s="31"/>
      <c r="O293" s="43"/>
    </row>
    <row r="294" spans="3:15" ht="12.5" x14ac:dyDescent="0.25">
      <c r="C294" s="31"/>
      <c r="I294" s="43"/>
      <c r="J294" s="43"/>
      <c r="K294" s="43"/>
      <c r="N294" s="31"/>
      <c r="O294" s="43"/>
    </row>
    <row r="295" spans="3:15" ht="12.5" x14ac:dyDescent="0.25">
      <c r="C295" s="31"/>
      <c r="I295" s="43"/>
      <c r="J295" s="43"/>
      <c r="K295" s="43"/>
      <c r="N295" s="31"/>
      <c r="O295" s="43"/>
    </row>
    <row r="296" spans="3:15" ht="12.5" x14ac:dyDescent="0.25">
      <c r="C296" s="31"/>
      <c r="I296" s="43"/>
      <c r="J296" s="43"/>
      <c r="K296" s="43"/>
      <c r="N296" s="31"/>
      <c r="O296" s="43"/>
    </row>
    <row r="297" spans="3:15" ht="12.5" x14ac:dyDescent="0.25">
      <c r="C297" s="31"/>
      <c r="I297" s="43"/>
      <c r="J297" s="43"/>
      <c r="K297" s="43"/>
      <c r="N297" s="31"/>
      <c r="O297" s="43"/>
    </row>
    <row r="298" spans="3:15" ht="12.5" x14ac:dyDescent="0.25">
      <c r="C298" s="31"/>
      <c r="I298" s="43"/>
      <c r="J298" s="43"/>
      <c r="K298" s="43"/>
      <c r="N298" s="31"/>
      <c r="O298" s="43"/>
    </row>
    <row r="299" spans="3:15" ht="12.5" x14ac:dyDescent="0.25">
      <c r="C299" s="31"/>
      <c r="I299" s="43"/>
      <c r="J299" s="43"/>
      <c r="K299" s="43"/>
      <c r="N299" s="31"/>
      <c r="O299" s="43"/>
    </row>
    <row r="300" spans="3:15" ht="12.5" x14ac:dyDescent="0.25">
      <c r="C300" s="31"/>
      <c r="I300" s="43"/>
      <c r="J300" s="43"/>
      <c r="K300" s="43"/>
      <c r="N300" s="31"/>
      <c r="O300" s="43"/>
    </row>
    <row r="301" spans="3:15" ht="12.5" x14ac:dyDescent="0.25">
      <c r="C301" s="31"/>
      <c r="I301" s="43"/>
      <c r="J301" s="43"/>
      <c r="K301" s="43"/>
      <c r="N301" s="31"/>
      <c r="O301" s="43"/>
    </row>
    <row r="302" spans="3:15" ht="12.5" x14ac:dyDescent="0.25">
      <c r="C302" s="31"/>
      <c r="I302" s="43"/>
      <c r="J302" s="43"/>
      <c r="K302" s="43"/>
      <c r="N302" s="31"/>
      <c r="O302" s="43"/>
    </row>
    <row r="303" spans="3:15" ht="12.5" x14ac:dyDescent="0.25">
      <c r="C303" s="31"/>
      <c r="I303" s="43"/>
      <c r="J303" s="43"/>
      <c r="K303" s="43"/>
      <c r="N303" s="31"/>
      <c r="O303" s="43"/>
    </row>
    <row r="304" spans="3:15" ht="12.5" x14ac:dyDescent="0.25">
      <c r="C304" s="31"/>
      <c r="I304" s="43"/>
      <c r="J304" s="43"/>
      <c r="K304" s="43"/>
      <c r="N304" s="31"/>
      <c r="O304" s="43"/>
    </row>
    <row r="305" spans="3:15" ht="12.5" x14ac:dyDescent="0.25">
      <c r="C305" s="31"/>
      <c r="I305" s="43"/>
      <c r="J305" s="43"/>
      <c r="K305" s="43"/>
      <c r="N305" s="31"/>
      <c r="O305" s="43"/>
    </row>
    <row r="306" spans="3:15" ht="12.5" x14ac:dyDescent="0.25">
      <c r="C306" s="31"/>
      <c r="I306" s="43"/>
      <c r="J306" s="43"/>
      <c r="K306" s="43"/>
      <c r="N306" s="31"/>
      <c r="O306" s="43"/>
    </row>
    <row r="307" spans="3:15" ht="12.5" x14ac:dyDescent="0.25">
      <c r="C307" s="31"/>
      <c r="I307" s="43"/>
      <c r="J307" s="43"/>
      <c r="K307" s="43"/>
      <c r="N307" s="31"/>
      <c r="O307" s="43"/>
    </row>
    <row r="308" spans="3:15" ht="12.5" x14ac:dyDescent="0.25">
      <c r="C308" s="31"/>
      <c r="I308" s="43"/>
      <c r="J308" s="43"/>
      <c r="K308" s="43"/>
      <c r="N308" s="31"/>
      <c r="O308" s="43"/>
    </row>
    <row r="309" spans="3:15" ht="12.5" x14ac:dyDescent="0.25">
      <c r="C309" s="31"/>
      <c r="I309" s="43"/>
      <c r="J309" s="43"/>
      <c r="K309" s="43"/>
      <c r="N309" s="31"/>
      <c r="O309" s="43"/>
    </row>
    <row r="310" spans="3:15" ht="12.5" x14ac:dyDescent="0.25">
      <c r="C310" s="31"/>
      <c r="I310" s="43"/>
      <c r="J310" s="43"/>
      <c r="K310" s="43"/>
      <c r="N310" s="31"/>
      <c r="O310" s="43"/>
    </row>
    <row r="311" spans="3:15" ht="12.5" x14ac:dyDescent="0.25">
      <c r="C311" s="31"/>
      <c r="I311" s="43"/>
      <c r="J311" s="43"/>
      <c r="K311" s="43"/>
      <c r="N311" s="31"/>
      <c r="O311" s="43"/>
    </row>
    <row r="312" spans="3:15" ht="12.5" x14ac:dyDescent="0.25">
      <c r="C312" s="31"/>
      <c r="I312" s="43"/>
      <c r="J312" s="43"/>
      <c r="K312" s="43"/>
      <c r="N312" s="31"/>
      <c r="O312" s="43"/>
    </row>
    <row r="313" spans="3:15" ht="12.5" x14ac:dyDescent="0.25">
      <c r="C313" s="31"/>
      <c r="I313" s="43"/>
      <c r="J313" s="43"/>
      <c r="K313" s="43"/>
      <c r="N313" s="31"/>
      <c r="O313" s="43"/>
    </row>
    <row r="314" spans="3:15" ht="12.5" x14ac:dyDescent="0.25">
      <c r="C314" s="31"/>
      <c r="I314" s="43"/>
      <c r="J314" s="43"/>
      <c r="K314" s="43"/>
      <c r="N314" s="31"/>
      <c r="O314" s="43"/>
    </row>
    <row r="315" spans="3:15" ht="12.5" x14ac:dyDescent="0.25">
      <c r="C315" s="31"/>
      <c r="I315" s="43"/>
      <c r="J315" s="43"/>
      <c r="K315" s="43"/>
      <c r="N315" s="31"/>
      <c r="O315" s="43"/>
    </row>
    <row r="316" spans="3:15" ht="12.5" x14ac:dyDescent="0.25">
      <c r="C316" s="31"/>
      <c r="I316" s="43"/>
      <c r="J316" s="43"/>
      <c r="K316" s="43"/>
      <c r="N316" s="31"/>
      <c r="O316" s="43"/>
    </row>
    <row r="317" spans="3:15" ht="12.5" x14ac:dyDescent="0.25">
      <c r="C317" s="31"/>
      <c r="I317" s="43"/>
      <c r="J317" s="43"/>
      <c r="K317" s="43"/>
      <c r="N317" s="31"/>
      <c r="O317" s="43"/>
    </row>
    <row r="318" spans="3:15" ht="12.5" x14ac:dyDescent="0.25">
      <c r="C318" s="31"/>
      <c r="I318" s="43"/>
      <c r="J318" s="43"/>
      <c r="K318" s="43"/>
      <c r="N318" s="31"/>
      <c r="O318" s="43"/>
    </row>
    <row r="319" spans="3:15" ht="12.5" x14ac:dyDescent="0.25">
      <c r="C319" s="31"/>
      <c r="I319" s="43"/>
      <c r="J319" s="43"/>
      <c r="K319" s="43"/>
      <c r="N319" s="31"/>
      <c r="O319" s="43"/>
    </row>
    <row r="320" spans="3:15" ht="12.5" x14ac:dyDescent="0.25">
      <c r="C320" s="31"/>
      <c r="I320" s="43"/>
      <c r="J320" s="43"/>
      <c r="K320" s="43"/>
      <c r="N320" s="31"/>
      <c r="O320" s="43"/>
    </row>
    <row r="321" spans="3:15" ht="12.5" x14ac:dyDescent="0.25">
      <c r="C321" s="31"/>
      <c r="I321" s="43"/>
      <c r="J321" s="43"/>
      <c r="K321" s="43"/>
      <c r="N321" s="31"/>
      <c r="O321" s="43"/>
    </row>
    <row r="322" spans="3:15" ht="12.5" x14ac:dyDescent="0.25">
      <c r="C322" s="31"/>
      <c r="I322" s="43"/>
      <c r="J322" s="43"/>
      <c r="K322" s="43"/>
      <c r="N322" s="31"/>
      <c r="O322" s="43"/>
    </row>
    <row r="323" spans="3:15" ht="12.5" x14ac:dyDescent="0.25">
      <c r="C323" s="31"/>
      <c r="I323" s="43"/>
      <c r="J323" s="43"/>
      <c r="K323" s="43"/>
      <c r="N323" s="31"/>
      <c r="O323" s="43"/>
    </row>
    <row r="324" spans="3:15" ht="12.5" x14ac:dyDescent="0.25">
      <c r="C324" s="31"/>
      <c r="I324" s="43"/>
      <c r="J324" s="43"/>
      <c r="K324" s="43"/>
      <c r="N324" s="31"/>
      <c r="O324" s="43"/>
    </row>
    <row r="325" spans="3:15" ht="12.5" x14ac:dyDescent="0.25">
      <c r="C325" s="31"/>
      <c r="I325" s="43"/>
      <c r="J325" s="43"/>
      <c r="K325" s="43"/>
      <c r="N325" s="31"/>
      <c r="O325" s="43"/>
    </row>
    <row r="326" spans="3:15" ht="12.5" x14ac:dyDescent="0.25">
      <c r="C326" s="31"/>
      <c r="I326" s="43"/>
      <c r="J326" s="43"/>
      <c r="K326" s="43"/>
      <c r="N326" s="31"/>
      <c r="O326" s="43"/>
    </row>
    <row r="327" spans="3:15" ht="12.5" x14ac:dyDescent="0.25">
      <c r="C327" s="31"/>
      <c r="I327" s="43"/>
      <c r="J327" s="43"/>
      <c r="K327" s="43"/>
      <c r="N327" s="31"/>
      <c r="O327" s="43"/>
    </row>
    <row r="328" spans="3:15" ht="12.5" x14ac:dyDescent="0.25">
      <c r="C328" s="31"/>
      <c r="I328" s="43"/>
      <c r="J328" s="43"/>
      <c r="K328" s="43"/>
      <c r="N328" s="31"/>
      <c r="O328" s="43"/>
    </row>
    <row r="329" spans="3:15" ht="12.5" x14ac:dyDescent="0.25">
      <c r="C329" s="31"/>
      <c r="I329" s="43"/>
      <c r="J329" s="43"/>
      <c r="K329" s="43"/>
      <c r="N329" s="31"/>
      <c r="O329" s="43"/>
    </row>
    <row r="330" spans="3:15" ht="12.5" x14ac:dyDescent="0.25">
      <c r="C330" s="31"/>
      <c r="I330" s="43"/>
      <c r="J330" s="43"/>
      <c r="K330" s="43"/>
      <c r="N330" s="31"/>
      <c r="O330" s="43"/>
    </row>
    <row r="331" spans="3:15" ht="12.5" x14ac:dyDescent="0.25">
      <c r="C331" s="31"/>
      <c r="I331" s="43"/>
      <c r="J331" s="43"/>
      <c r="K331" s="43"/>
      <c r="N331" s="31"/>
      <c r="O331" s="43"/>
    </row>
    <row r="332" spans="3:15" ht="12.5" x14ac:dyDescent="0.25">
      <c r="C332" s="31"/>
      <c r="I332" s="43"/>
      <c r="J332" s="43"/>
      <c r="K332" s="43"/>
      <c r="N332" s="31"/>
      <c r="O332" s="43"/>
    </row>
    <row r="333" spans="3:15" ht="12.5" x14ac:dyDescent="0.25">
      <c r="C333" s="31"/>
      <c r="I333" s="43"/>
      <c r="J333" s="43"/>
      <c r="K333" s="43"/>
      <c r="N333" s="31"/>
      <c r="O333" s="43"/>
    </row>
    <row r="334" spans="3:15" ht="12.5" x14ac:dyDescent="0.25">
      <c r="C334" s="31"/>
      <c r="I334" s="43"/>
      <c r="J334" s="43"/>
      <c r="K334" s="43"/>
      <c r="N334" s="31"/>
      <c r="O334" s="43"/>
    </row>
    <row r="335" spans="3:15" ht="12.5" x14ac:dyDescent="0.25">
      <c r="C335" s="31"/>
      <c r="I335" s="43"/>
      <c r="J335" s="43"/>
      <c r="K335" s="43"/>
      <c r="N335" s="31"/>
      <c r="O335" s="43"/>
    </row>
    <row r="336" spans="3:15" ht="12.5" x14ac:dyDescent="0.25">
      <c r="C336" s="31"/>
      <c r="I336" s="43"/>
      <c r="J336" s="43"/>
      <c r="K336" s="43"/>
      <c r="N336" s="31"/>
      <c r="O336" s="43"/>
    </row>
    <row r="337" spans="3:15" ht="12.5" x14ac:dyDescent="0.25">
      <c r="C337" s="31"/>
      <c r="I337" s="43"/>
      <c r="J337" s="43"/>
      <c r="K337" s="43"/>
      <c r="N337" s="31"/>
      <c r="O337" s="43"/>
    </row>
    <row r="338" spans="3:15" ht="12.5" x14ac:dyDescent="0.25">
      <c r="C338" s="31"/>
      <c r="I338" s="43"/>
      <c r="J338" s="43"/>
      <c r="K338" s="43"/>
      <c r="N338" s="31"/>
      <c r="O338" s="43"/>
    </row>
    <row r="339" spans="3:15" ht="12.5" x14ac:dyDescent="0.25">
      <c r="C339" s="31"/>
      <c r="I339" s="43"/>
      <c r="J339" s="43"/>
      <c r="K339" s="43"/>
      <c r="N339" s="31"/>
      <c r="O339" s="43"/>
    </row>
    <row r="340" spans="3:15" ht="12.5" x14ac:dyDescent="0.25">
      <c r="C340" s="31"/>
      <c r="I340" s="43"/>
      <c r="J340" s="43"/>
      <c r="K340" s="43"/>
      <c r="N340" s="31"/>
      <c r="O340" s="43"/>
    </row>
    <row r="341" spans="3:15" ht="12.5" x14ac:dyDescent="0.25">
      <c r="C341" s="31"/>
      <c r="I341" s="43"/>
      <c r="J341" s="43"/>
      <c r="K341" s="43"/>
      <c r="N341" s="31"/>
      <c r="O341" s="43"/>
    </row>
    <row r="342" spans="3:15" ht="12.5" x14ac:dyDescent="0.25">
      <c r="C342" s="31"/>
      <c r="I342" s="43"/>
      <c r="J342" s="43"/>
      <c r="K342" s="43"/>
      <c r="N342" s="31"/>
      <c r="O342" s="43"/>
    </row>
    <row r="343" spans="3:15" ht="12.5" x14ac:dyDescent="0.25">
      <c r="C343" s="31"/>
      <c r="I343" s="43"/>
      <c r="J343" s="43"/>
      <c r="K343" s="43"/>
      <c r="N343" s="31"/>
      <c r="O343" s="43"/>
    </row>
    <row r="344" spans="3:15" ht="12.5" x14ac:dyDescent="0.25">
      <c r="C344" s="31"/>
      <c r="I344" s="43"/>
      <c r="J344" s="43"/>
      <c r="K344" s="43"/>
      <c r="N344" s="31"/>
      <c r="O344" s="43"/>
    </row>
    <row r="345" spans="3:15" ht="12.5" x14ac:dyDescent="0.25">
      <c r="C345" s="31"/>
      <c r="I345" s="43"/>
      <c r="J345" s="43"/>
      <c r="K345" s="43"/>
      <c r="N345" s="31"/>
      <c r="O345" s="43"/>
    </row>
    <row r="346" spans="3:15" ht="12.5" x14ac:dyDescent="0.25">
      <c r="C346" s="31"/>
      <c r="I346" s="43"/>
      <c r="J346" s="43"/>
      <c r="K346" s="43"/>
      <c r="N346" s="31"/>
      <c r="O346" s="43"/>
    </row>
    <row r="347" spans="3:15" ht="12.5" x14ac:dyDescent="0.25">
      <c r="C347" s="31"/>
      <c r="I347" s="43"/>
      <c r="J347" s="43"/>
      <c r="K347" s="43"/>
      <c r="N347" s="31"/>
      <c r="O347" s="43"/>
    </row>
    <row r="348" spans="3:15" ht="12.5" x14ac:dyDescent="0.25">
      <c r="C348" s="31"/>
      <c r="I348" s="43"/>
      <c r="J348" s="43"/>
      <c r="K348" s="43"/>
      <c r="N348" s="31"/>
      <c r="O348" s="43"/>
    </row>
    <row r="349" spans="3:15" ht="12.5" x14ac:dyDescent="0.25">
      <c r="C349" s="31"/>
      <c r="I349" s="43"/>
      <c r="J349" s="43"/>
      <c r="K349" s="43"/>
      <c r="N349" s="31"/>
      <c r="O349" s="43"/>
    </row>
    <row r="350" spans="3:15" ht="12.5" x14ac:dyDescent="0.25">
      <c r="C350" s="31"/>
      <c r="I350" s="43"/>
      <c r="J350" s="43"/>
      <c r="K350" s="43"/>
      <c r="N350" s="31"/>
      <c r="O350" s="43"/>
    </row>
    <row r="351" spans="3:15" ht="12.5" x14ac:dyDescent="0.25">
      <c r="C351" s="31"/>
      <c r="I351" s="43"/>
      <c r="J351" s="43"/>
      <c r="K351" s="43"/>
      <c r="N351" s="31"/>
      <c r="O351" s="43"/>
    </row>
    <row r="352" spans="3:15" ht="12.5" x14ac:dyDescent="0.25">
      <c r="C352" s="31"/>
      <c r="I352" s="43"/>
      <c r="J352" s="43"/>
      <c r="K352" s="43"/>
      <c r="N352" s="31"/>
      <c r="O352" s="43"/>
    </row>
    <row r="353" spans="3:15" ht="12.5" x14ac:dyDescent="0.25">
      <c r="C353" s="31"/>
      <c r="I353" s="43"/>
      <c r="J353" s="43"/>
      <c r="K353" s="43"/>
      <c r="N353" s="31"/>
      <c r="O353" s="43"/>
    </row>
    <row r="354" spans="3:15" ht="12.5" x14ac:dyDescent="0.25">
      <c r="C354" s="31"/>
      <c r="I354" s="43"/>
      <c r="J354" s="43"/>
      <c r="K354" s="43"/>
      <c r="N354" s="31"/>
      <c r="O354" s="43"/>
    </row>
    <row r="355" spans="3:15" ht="12.5" x14ac:dyDescent="0.25">
      <c r="C355" s="31"/>
      <c r="I355" s="43"/>
      <c r="J355" s="43"/>
      <c r="K355" s="43"/>
      <c r="N355" s="31"/>
      <c r="O355" s="43"/>
    </row>
    <row r="356" spans="3:15" ht="12.5" x14ac:dyDescent="0.25">
      <c r="C356" s="31"/>
      <c r="I356" s="43"/>
      <c r="J356" s="43"/>
      <c r="K356" s="43"/>
      <c r="N356" s="31"/>
      <c r="O356" s="43"/>
    </row>
    <row r="357" spans="3:15" ht="12.5" x14ac:dyDescent="0.25">
      <c r="C357" s="31"/>
      <c r="I357" s="43"/>
      <c r="J357" s="43"/>
      <c r="K357" s="43"/>
      <c r="N357" s="31"/>
      <c r="O357" s="43"/>
    </row>
    <row r="358" spans="3:15" ht="12.5" x14ac:dyDescent="0.25">
      <c r="C358" s="31"/>
      <c r="I358" s="43"/>
      <c r="J358" s="43"/>
      <c r="K358" s="43"/>
      <c r="N358" s="31"/>
      <c r="O358" s="43"/>
    </row>
    <row r="359" spans="3:15" ht="12.5" x14ac:dyDescent="0.25">
      <c r="C359" s="31"/>
      <c r="I359" s="43"/>
      <c r="J359" s="43"/>
      <c r="K359" s="43"/>
      <c r="N359" s="31"/>
      <c r="O359" s="43"/>
    </row>
    <row r="360" spans="3:15" ht="12.5" x14ac:dyDescent="0.25">
      <c r="C360" s="31"/>
      <c r="I360" s="43"/>
      <c r="J360" s="43"/>
      <c r="K360" s="43"/>
      <c r="N360" s="31"/>
      <c r="O360" s="43"/>
    </row>
    <row r="361" spans="3:15" ht="12.5" x14ac:dyDescent="0.25">
      <c r="C361" s="31"/>
      <c r="I361" s="43"/>
      <c r="J361" s="43"/>
      <c r="K361" s="43"/>
      <c r="N361" s="31"/>
      <c r="O361" s="43"/>
    </row>
    <row r="362" spans="3:15" ht="12.5" x14ac:dyDescent="0.25">
      <c r="C362" s="31"/>
      <c r="I362" s="43"/>
      <c r="J362" s="43"/>
      <c r="K362" s="43"/>
      <c r="N362" s="31"/>
      <c r="O362" s="43"/>
    </row>
    <row r="363" spans="3:15" ht="12.5" x14ac:dyDescent="0.25">
      <c r="C363" s="31"/>
      <c r="I363" s="43"/>
      <c r="J363" s="43"/>
      <c r="K363" s="43"/>
      <c r="N363" s="31"/>
      <c r="O363" s="43"/>
    </row>
    <row r="364" spans="3:15" ht="12.5" x14ac:dyDescent="0.25">
      <c r="C364" s="31"/>
      <c r="I364" s="43"/>
      <c r="J364" s="43"/>
      <c r="K364" s="43"/>
      <c r="N364" s="31"/>
      <c r="O364" s="43"/>
    </row>
    <row r="365" spans="3:15" ht="12.5" x14ac:dyDescent="0.25">
      <c r="C365" s="31"/>
      <c r="I365" s="43"/>
      <c r="J365" s="43"/>
      <c r="K365" s="43"/>
      <c r="N365" s="31"/>
      <c r="O365" s="43"/>
    </row>
    <row r="366" spans="3:15" ht="12.5" x14ac:dyDescent="0.25">
      <c r="C366" s="31"/>
      <c r="I366" s="43"/>
      <c r="J366" s="43"/>
      <c r="K366" s="43"/>
      <c r="N366" s="31"/>
      <c r="O366" s="43"/>
    </row>
    <row r="367" spans="3:15" ht="12.5" x14ac:dyDescent="0.25">
      <c r="C367" s="31"/>
      <c r="I367" s="43"/>
      <c r="J367" s="43"/>
      <c r="K367" s="43"/>
      <c r="N367" s="31"/>
      <c r="O367" s="43"/>
    </row>
    <row r="368" spans="3:15" ht="12.5" x14ac:dyDescent="0.25">
      <c r="C368" s="31"/>
      <c r="I368" s="43"/>
      <c r="J368" s="43"/>
      <c r="K368" s="43"/>
      <c r="N368" s="31"/>
      <c r="O368" s="43"/>
    </row>
    <row r="369" spans="3:15" ht="12.5" x14ac:dyDescent="0.25">
      <c r="C369" s="31"/>
      <c r="I369" s="43"/>
      <c r="J369" s="43"/>
      <c r="K369" s="43"/>
      <c r="N369" s="31"/>
      <c r="O369" s="43"/>
    </row>
    <row r="370" spans="3:15" ht="12.5" x14ac:dyDescent="0.25">
      <c r="C370" s="31"/>
      <c r="I370" s="43"/>
      <c r="J370" s="43"/>
      <c r="K370" s="43"/>
      <c r="N370" s="31"/>
      <c r="O370" s="43"/>
    </row>
    <row r="371" spans="3:15" ht="12.5" x14ac:dyDescent="0.25">
      <c r="C371" s="31"/>
      <c r="I371" s="43"/>
      <c r="J371" s="43"/>
      <c r="K371" s="43"/>
      <c r="N371" s="31"/>
      <c r="O371" s="43"/>
    </row>
    <row r="372" spans="3:15" ht="12.5" x14ac:dyDescent="0.25">
      <c r="C372" s="31"/>
      <c r="I372" s="43"/>
      <c r="J372" s="43"/>
      <c r="K372" s="43"/>
      <c r="N372" s="31"/>
      <c r="O372" s="43"/>
    </row>
    <row r="373" spans="3:15" ht="12.5" x14ac:dyDescent="0.25">
      <c r="C373" s="31"/>
      <c r="I373" s="43"/>
      <c r="J373" s="43"/>
      <c r="K373" s="43"/>
      <c r="N373" s="31"/>
      <c r="O373" s="43"/>
    </row>
    <row r="374" spans="3:15" ht="12.5" x14ac:dyDescent="0.25">
      <c r="C374" s="31"/>
      <c r="I374" s="43"/>
      <c r="J374" s="43"/>
      <c r="K374" s="43"/>
      <c r="N374" s="31"/>
      <c r="O374" s="43"/>
    </row>
    <row r="375" spans="3:15" ht="12.5" x14ac:dyDescent="0.25">
      <c r="C375" s="31"/>
      <c r="I375" s="43"/>
      <c r="J375" s="43"/>
      <c r="K375" s="43"/>
      <c r="N375" s="31"/>
      <c r="O375" s="43"/>
    </row>
    <row r="376" spans="3:15" ht="12.5" x14ac:dyDescent="0.25">
      <c r="C376" s="31"/>
      <c r="I376" s="43"/>
      <c r="J376" s="43"/>
      <c r="K376" s="43"/>
      <c r="N376" s="31"/>
      <c r="O376" s="43"/>
    </row>
    <row r="377" spans="3:15" ht="12.5" x14ac:dyDescent="0.25">
      <c r="C377" s="31"/>
      <c r="I377" s="43"/>
      <c r="J377" s="43"/>
      <c r="K377" s="43"/>
      <c r="N377" s="31"/>
      <c r="O377" s="43"/>
    </row>
    <row r="378" spans="3:15" ht="12.5" x14ac:dyDescent="0.25">
      <c r="C378" s="31"/>
      <c r="I378" s="43"/>
      <c r="J378" s="43"/>
      <c r="K378" s="43"/>
      <c r="N378" s="31"/>
      <c r="O378" s="43"/>
    </row>
    <row r="379" spans="3:15" ht="12.5" x14ac:dyDescent="0.25">
      <c r="C379" s="31"/>
      <c r="I379" s="43"/>
      <c r="J379" s="43"/>
      <c r="K379" s="43"/>
      <c r="N379" s="31"/>
      <c r="O379" s="43"/>
    </row>
    <row r="380" spans="3:15" ht="12.5" x14ac:dyDescent="0.25">
      <c r="C380" s="31"/>
      <c r="I380" s="43"/>
      <c r="J380" s="43"/>
      <c r="K380" s="43"/>
      <c r="N380" s="31"/>
      <c r="O380" s="43"/>
    </row>
    <row r="381" spans="3:15" ht="12.5" x14ac:dyDescent="0.25">
      <c r="C381" s="31"/>
      <c r="I381" s="43"/>
      <c r="J381" s="43"/>
      <c r="K381" s="43"/>
      <c r="N381" s="31"/>
      <c r="O381" s="43"/>
    </row>
    <row r="382" spans="3:15" ht="12.5" x14ac:dyDescent="0.25">
      <c r="C382" s="31"/>
      <c r="I382" s="43"/>
      <c r="J382" s="43"/>
      <c r="K382" s="43"/>
      <c r="N382" s="31"/>
      <c r="O382" s="43"/>
    </row>
    <row r="383" spans="3:15" ht="12.5" x14ac:dyDescent="0.25">
      <c r="C383" s="31"/>
      <c r="I383" s="43"/>
      <c r="J383" s="43"/>
      <c r="K383" s="43"/>
      <c r="N383" s="31"/>
      <c r="O383" s="43"/>
    </row>
    <row r="384" spans="3:15" ht="12.5" x14ac:dyDescent="0.25">
      <c r="C384" s="31"/>
      <c r="I384" s="43"/>
      <c r="J384" s="43"/>
      <c r="K384" s="43"/>
      <c r="N384" s="31"/>
      <c r="O384" s="43"/>
    </row>
    <row r="385" spans="3:15" ht="12.5" x14ac:dyDescent="0.25">
      <c r="C385" s="31"/>
      <c r="I385" s="43"/>
      <c r="J385" s="43"/>
      <c r="K385" s="43"/>
      <c r="N385" s="31"/>
      <c r="O385" s="43"/>
    </row>
    <row r="386" spans="3:15" ht="12.5" x14ac:dyDescent="0.25">
      <c r="C386" s="31"/>
      <c r="I386" s="43"/>
      <c r="J386" s="43"/>
      <c r="K386" s="43"/>
      <c r="N386" s="31"/>
      <c r="O386" s="43"/>
    </row>
    <row r="387" spans="3:15" ht="12.5" x14ac:dyDescent="0.25">
      <c r="C387" s="31"/>
      <c r="I387" s="43"/>
      <c r="J387" s="43"/>
      <c r="K387" s="43"/>
      <c r="N387" s="31"/>
      <c r="O387" s="43"/>
    </row>
    <row r="388" spans="3:15" ht="12.5" x14ac:dyDescent="0.25">
      <c r="C388" s="31"/>
      <c r="I388" s="43"/>
      <c r="J388" s="43"/>
      <c r="K388" s="43"/>
      <c r="N388" s="31"/>
      <c r="O388" s="43"/>
    </row>
    <row r="389" spans="3:15" ht="12.5" x14ac:dyDescent="0.25">
      <c r="C389" s="31"/>
      <c r="I389" s="43"/>
      <c r="J389" s="43"/>
      <c r="K389" s="43"/>
      <c r="N389" s="31"/>
      <c r="O389" s="43"/>
    </row>
    <row r="390" spans="3:15" ht="12.5" x14ac:dyDescent="0.25">
      <c r="C390" s="31"/>
      <c r="I390" s="43"/>
      <c r="J390" s="43"/>
      <c r="K390" s="43"/>
      <c r="N390" s="31"/>
      <c r="O390" s="43"/>
    </row>
    <row r="391" spans="3:15" ht="12.5" x14ac:dyDescent="0.25">
      <c r="C391" s="31"/>
      <c r="I391" s="43"/>
      <c r="J391" s="43"/>
      <c r="K391" s="43"/>
      <c r="N391" s="31"/>
      <c r="O391" s="43"/>
    </row>
    <row r="392" spans="3:15" ht="12.5" x14ac:dyDescent="0.25">
      <c r="C392" s="31"/>
      <c r="I392" s="43"/>
      <c r="J392" s="43"/>
      <c r="K392" s="43"/>
      <c r="N392" s="31"/>
      <c r="O392" s="43"/>
    </row>
    <row r="393" spans="3:15" ht="12.5" x14ac:dyDescent="0.25">
      <c r="C393" s="31"/>
      <c r="I393" s="43"/>
      <c r="J393" s="43"/>
      <c r="K393" s="43"/>
      <c r="N393" s="31"/>
      <c r="O393" s="43"/>
    </row>
    <row r="394" spans="3:15" ht="12.5" x14ac:dyDescent="0.25">
      <c r="C394" s="31"/>
      <c r="I394" s="43"/>
      <c r="J394" s="43"/>
      <c r="K394" s="43"/>
      <c r="N394" s="31"/>
      <c r="O394" s="43"/>
    </row>
    <row r="395" spans="3:15" ht="12.5" x14ac:dyDescent="0.25">
      <c r="C395" s="31"/>
      <c r="I395" s="43"/>
      <c r="J395" s="43"/>
      <c r="K395" s="43"/>
      <c r="N395" s="31"/>
      <c r="O395" s="43"/>
    </row>
    <row r="396" spans="3:15" ht="12.5" x14ac:dyDescent="0.25">
      <c r="C396" s="31"/>
      <c r="I396" s="43"/>
      <c r="J396" s="43"/>
      <c r="K396" s="43"/>
      <c r="N396" s="31"/>
      <c r="O396" s="43"/>
    </row>
    <row r="397" spans="3:15" ht="12.5" x14ac:dyDescent="0.25">
      <c r="C397" s="31"/>
      <c r="I397" s="43"/>
      <c r="J397" s="43"/>
      <c r="K397" s="43"/>
      <c r="N397" s="31"/>
      <c r="O397" s="43"/>
    </row>
    <row r="398" spans="3:15" ht="12.5" x14ac:dyDescent="0.25">
      <c r="C398" s="31"/>
      <c r="I398" s="43"/>
      <c r="J398" s="43"/>
      <c r="K398" s="43"/>
      <c r="N398" s="31"/>
      <c r="O398" s="43"/>
    </row>
    <row r="399" spans="3:15" ht="12.5" x14ac:dyDescent="0.25">
      <c r="C399" s="31"/>
      <c r="I399" s="43"/>
      <c r="J399" s="43"/>
      <c r="K399" s="43"/>
      <c r="N399" s="31"/>
      <c r="O399" s="43"/>
    </row>
    <row r="400" spans="3:15" ht="12.5" x14ac:dyDescent="0.25">
      <c r="C400" s="31"/>
      <c r="I400" s="43"/>
      <c r="J400" s="43"/>
      <c r="K400" s="43"/>
      <c r="N400" s="31"/>
      <c r="O400" s="43"/>
    </row>
    <row r="401" spans="3:15" ht="12.5" x14ac:dyDescent="0.25">
      <c r="C401" s="31"/>
      <c r="I401" s="43"/>
      <c r="J401" s="43"/>
      <c r="K401" s="43"/>
      <c r="N401" s="31"/>
      <c r="O401" s="43"/>
    </row>
    <row r="402" spans="3:15" ht="12.5" x14ac:dyDescent="0.25">
      <c r="C402" s="31"/>
      <c r="I402" s="43"/>
      <c r="J402" s="43"/>
      <c r="K402" s="43"/>
      <c r="N402" s="31"/>
      <c r="O402" s="43"/>
    </row>
    <row r="403" spans="3:15" ht="12.5" x14ac:dyDescent="0.25">
      <c r="C403" s="31"/>
      <c r="I403" s="43"/>
      <c r="J403" s="43"/>
      <c r="K403" s="43"/>
      <c r="N403" s="31"/>
      <c r="O403" s="43"/>
    </row>
    <row r="404" spans="3:15" ht="12.5" x14ac:dyDescent="0.25">
      <c r="C404" s="31"/>
      <c r="I404" s="43"/>
      <c r="J404" s="43"/>
      <c r="K404" s="43"/>
      <c r="N404" s="31"/>
      <c r="O404" s="43"/>
    </row>
    <row r="405" spans="3:15" ht="12.5" x14ac:dyDescent="0.25">
      <c r="C405" s="31"/>
      <c r="I405" s="43"/>
      <c r="J405" s="43"/>
      <c r="K405" s="43"/>
      <c r="N405" s="31"/>
      <c r="O405" s="43"/>
    </row>
    <row r="406" spans="3:15" ht="12.5" x14ac:dyDescent="0.25">
      <c r="C406" s="31"/>
      <c r="I406" s="43"/>
      <c r="J406" s="43"/>
      <c r="K406" s="43"/>
      <c r="N406" s="31"/>
      <c r="O406" s="43"/>
    </row>
    <row r="407" spans="3:15" ht="12.5" x14ac:dyDescent="0.25">
      <c r="C407" s="31"/>
      <c r="I407" s="43"/>
      <c r="J407" s="43"/>
      <c r="K407" s="43"/>
      <c r="N407" s="31"/>
      <c r="O407" s="43"/>
    </row>
    <row r="408" spans="3:15" ht="12.5" x14ac:dyDescent="0.25">
      <c r="C408" s="31"/>
      <c r="I408" s="43"/>
      <c r="J408" s="43"/>
      <c r="K408" s="43"/>
      <c r="N408" s="31"/>
      <c r="O408" s="43"/>
    </row>
    <row r="409" spans="3:15" ht="12.5" x14ac:dyDescent="0.25">
      <c r="C409" s="31"/>
      <c r="I409" s="43"/>
      <c r="J409" s="43"/>
      <c r="K409" s="43"/>
      <c r="N409" s="31"/>
      <c r="O409" s="43"/>
    </row>
    <row r="410" spans="3:15" ht="12.5" x14ac:dyDescent="0.25">
      <c r="C410" s="31"/>
      <c r="I410" s="43"/>
      <c r="J410" s="43"/>
      <c r="K410" s="43"/>
      <c r="N410" s="31"/>
      <c r="O410" s="43"/>
    </row>
    <row r="411" spans="3:15" ht="12.5" x14ac:dyDescent="0.25">
      <c r="C411" s="31"/>
      <c r="I411" s="43"/>
      <c r="J411" s="43"/>
      <c r="K411" s="43"/>
      <c r="N411" s="31"/>
      <c r="O411" s="43"/>
    </row>
    <row r="412" spans="3:15" ht="12.5" x14ac:dyDescent="0.25">
      <c r="C412" s="31"/>
      <c r="I412" s="43"/>
      <c r="J412" s="43"/>
      <c r="K412" s="43"/>
      <c r="N412" s="31"/>
      <c r="O412" s="43"/>
    </row>
    <row r="413" spans="3:15" ht="12.5" x14ac:dyDescent="0.25">
      <c r="C413" s="31"/>
      <c r="I413" s="43"/>
      <c r="J413" s="43"/>
      <c r="K413" s="43"/>
      <c r="N413" s="31"/>
      <c r="O413" s="43"/>
    </row>
    <row r="414" spans="3:15" ht="12.5" x14ac:dyDescent="0.25">
      <c r="C414" s="31"/>
      <c r="I414" s="43"/>
      <c r="J414" s="43"/>
      <c r="K414" s="43"/>
      <c r="N414" s="31"/>
      <c r="O414" s="43"/>
    </row>
    <row r="415" spans="3:15" ht="12.5" x14ac:dyDescent="0.25">
      <c r="C415" s="31"/>
      <c r="I415" s="43"/>
      <c r="J415" s="43"/>
      <c r="K415" s="43"/>
      <c r="N415" s="31"/>
      <c r="O415" s="43"/>
    </row>
    <row r="416" spans="3:15" ht="12.5" x14ac:dyDescent="0.25">
      <c r="C416" s="31"/>
      <c r="I416" s="43"/>
      <c r="J416" s="43"/>
      <c r="K416" s="43"/>
      <c r="N416" s="31"/>
      <c r="O416" s="43"/>
    </row>
    <row r="417" spans="3:15" ht="12.5" x14ac:dyDescent="0.25">
      <c r="C417" s="31"/>
      <c r="I417" s="43"/>
      <c r="J417" s="43"/>
      <c r="K417" s="43"/>
      <c r="N417" s="31"/>
      <c r="O417" s="43"/>
    </row>
    <row r="418" spans="3:15" ht="12.5" x14ac:dyDescent="0.25">
      <c r="C418" s="31"/>
      <c r="I418" s="43"/>
      <c r="J418" s="43"/>
      <c r="K418" s="43"/>
      <c r="N418" s="31"/>
      <c r="O418" s="43"/>
    </row>
    <row r="419" spans="3:15" ht="12.5" x14ac:dyDescent="0.25">
      <c r="C419" s="31"/>
      <c r="I419" s="43"/>
      <c r="J419" s="43"/>
      <c r="K419" s="43"/>
      <c r="N419" s="31"/>
      <c r="O419" s="43"/>
    </row>
    <row r="420" spans="3:15" ht="12.5" x14ac:dyDescent="0.25">
      <c r="C420" s="31"/>
      <c r="I420" s="43"/>
      <c r="J420" s="43"/>
      <c r="K420" s="43"/>
      <c r="N420" s="31"/>
      <c r="O420" s="43"/>
    </row>
    <row r="421" spans="3:15" ht="12.5" x14ac:dyDescent="0.25">
      <c r="C421" s="31"/>
      <c r="I421" s="43"/>
      <c r="J421" s="43"/>
      <c r="K421" s="43"/>
      <c r="N421" s="31"/>
      <c r="O421" s="43"/>
    </row>
    <row r="422" spans="3:15" ht="12.5" x14ac:dyDescent="0.25">
      <c r="C422" s="31"/>
      <c r="I422" s="43"/>
      <c r="J422" s="43"/>
      <c r="K422" s="43"/>
      <c r="N422" s="31"/>
      <c r="O422" s="43"/>
    </row>
    <row r="423" spans="3:15" ht="12.5" x14ac:dyDescent="0.25">
      <c r="C423" s="31"/>
      <c r="I423" s="43"/>
      <c r="J423" s="43"/>
      <c r="K423" s="43"/>
      <c r="N423" s="31"/>
      <c r="O423" s="43"/>
    </row>
    <row r="424" spans="3:15" ht="12.5" x14ac:dyDescent="0.25">
      <c r="C424" s="31"/>
      <c r="I424" s="43"/>
      <c r="J424" s="43"/>
      <c r="K424" s="43"/>
      <c r="N424" s="31"/>
      <c r="O424" s="43"/>
    </row>
    <row r="425" spans="3:15" ht="12.5" x14ac:dyDescent="0.25">
      <c r="C425" s="31"/>
      <c r="I425" s="43"/>
      <c r="J425" s="43"/>
      <c r="K425" s="43"/>
      <c r="N425" s="31"/>
      <c r="O425" s="43"/>
    </row>
    <row r="426" spans="3:15" ht="12.5" x14ac:dyDescent="0.25">
      <c r="C426" s="31"/>
      <c r="I426" s="43"/>
      <c r="J426" s="43"/>
      <c r="K426" s="43"/>
      <c r="N426" s="31"/>
      <c r="O426" s="43"/>
    </row>
    <row r="427" spans="3:15" ht="12.5" x14ac:dyDescent="0.25">
      <c r="C427" s="31"/>
      <c r="I427" s="43"/>
      <c r="J427" s="43"/>
      <c r="K427" s="43"/>
      <c r="N427" s="31"/>
      <c r="O427" s="43"/>
    </row>
    <row r="428" spans="3:15" ht="12.5" x14ac:dyDescent="0.25">
      <c r="C428" s="31"/>
      <c r="I428" s="43"/>
      <c r="J428" s="43"/>
      <c r="K428" s="43"/>
      <c r="N428" s="31"/>
      <c r="O428" s="43"/>
    </row>
    <row r="429" spans="3:15" ht="12.5" x14ac:dyDescent="0.25">
      <c r="C429" s="31"/>
      <c r="I429" s="43"/>
      <c r="J429" s="43"/>
      <c r="K429" s="43"/>
      <c r="N429" s="31"/>
      <c r="O429" s="43"/>
    </row>
    <row r="430" spans="3:15" ht="12.5" x14ac:dyDescent="0.25">
      <c r="C430" s="31"/>
      <c r="I430" s="43"/>
      <c r="J430" s="43"/>
      <c r="K430" s="43"/>
      <c r="N430" s="31"/>
      <c r="O430" s="43"/>
    </row>
    <row r="431" spans="3:15" ht="12.5" x14ac:dyDescent="0.25">
      <c r="C431" s="31"/>
      <c r="I431" s="43"/>
      <c r="J431" s="43"/>
      <c r="K431" s="43"/>
      <c r="N431" s="31"/>
      <c r="O431" s="43"/>
    </row>
    <row r="432" spans="3:15" ht="12.5" x14ac:dyDescent="0.25">
      <c r="C432" s="31"/>
      <c r="I432" s="43"/>
      <c r="J432" s="43"/>
      <c r="K432" s="43"/>
      <c r="N432" s="31"/>
      <c r="O432" s="43"/>
    </row>
    <row r="433" spans="3:15" ht="12.5" x14ac:dyDescent="0.25">
      <c r="C433" s="31"/>
      <c r="I433" s="43"/>
      <c r="J433" s="43"/>
      <c r="K433" s="43"/>
      <c r="N433" s="31"/>
      <c r="O433" s="43"/>
    </row>
    <row r="434" spans="3:15" ht="12.5" x14ac:dyDescent="0.25">
      <c r="C434" s="31"/>
      <c r="I434" s="43"/>
      <c r="J434" s="43"/>
      <c r="K434" s="43"/>
      <c r="N434" s="31"/>
      <c r="O434" s="43"/>
    </row>
    <row r="435" spans="3:15" ht="12.5" x14ac:dyDescent="0.25">
      <c r="C435" s="31"/>
      <c r="I435" s="43"/>
      <c r="J435" s="43"/>
      <c r="K435" s="43"/>
      <c r="N435" s="31"/>
      <c r="O435" s="43"/>
    </row>
    <row r="436" spans="3:15" ht="12.5" x14ac:dyDescent="0.25">
      <c r="C436" s="31"/>
      <c r="I436" s="43"/>
      <c r="J436" s="43"/>
      <c r="K436" s="43"/>
      <c r="N436" s="31"/>
      <c r="O436" s="43"/>
    </row>
    <row r="437" spans="3:15" ht="12.5" x14ac:dyDescent="0.25">
      <c r="C437" s="31"/>
      <c r="I437" s="43"/>
      <c r="J437" s="43"/>
      <c r="K437" s="43"/>
      <c r="N437" s="31"/>
      <c r="O437" s="43"/>
    </row>
    <row r="438" spans="3:15" ht="12.5" x14ac:dyDescent="0.25">
      <c r="C438" s="31"/>
      <c r="I438" s="43"/>
      <c r="J438" s="43"/>
      <c r="K438" s="43"/>
      <c r="N438" s="31"/>
      <c r="O438" s="43"/>
    </row>
    <row r="439" spans="3:15" ht="12.5" x14ac:dyDescent="0.25">
      <c r="C439" s="31"/>
      <c r="I439" s="43"/>
      <c r="J439" s="43"/>
      <c r="K439" s="43"/>
      <c r="N439" s="31"/>
      <c r="O439" s="43"/>
    </row>
    <row r="440" spans="3:15" ht="12.5" x14ac:dyDescent="0.25">
      <c r="C440" s="31"/>
      <c r="I440" s="43"/>
      <c r="J440" s="43"/>
      <c r="K440" s="43"/>
      <c r="N440" s="31"/>
      <c r="O440" s="43"/>
    </row>
    <row r="441" spans="3:15" ht="12.5" x14ac:dyDescent="0.25">
      <c r="C441" s="31"/>
      <c r="I441" s="43"/>
      <c r="J441" s="43"/>
      <c r="K441" s="43"/>
      <c r="N441" s="31"/>
      <c r="O441" s="43"/>
    </row>
    <row r="442" spans="3:15" ht="12.5" x14ac:dyDescent="0.25">
      <c r="C442" s="31"/>
      <c r="I442" s="43"/>
      <c r="J442" s="43"/>
      <c r="K442" s="43"/>
      <c r="N442" s="31"/>
      <c r="O442" s="43"/>
    </row>
    <row r="443" spans="3:15" ht="12.5" x14ac:dyDescent="0.25">
      <c r="C443" s="31"/>
      <c r="I443" s="43"/>
      <c r="J443" s="43"/>
      <c r="K443" s="43"/>
      <c r="N443" s="31"/>
      <c r="O443" s="43"/>
    </row>
    <row r="444" spans="3:15" ht="12.5" x14ac:dyDescent="0.25">
      <c r="C444" s="31"/>
      <c r="I444" s="43"/>
      <c r="J444" s="43"/>
      <c r="K444" s="43"/>
      <c r="N444" s="31"/>
      <c r="O444" s="43"/>
    </row>
    <row r="445" spans="3:15" ht="12.5" x14ac:dyDescent="0.25">
      <c r="C445" s="31"/>
      <c r="I445" s="43"/>
      <c r="J445" s="43"/>
      <c r="K445" s="43"/>
      <c r="N445" s="31"/>
      <c r="O445" s="43"/>
    </row>
    <row r="446" spans="3:15" ht="12.5" x14ac:dyDescent="0.25">
      <c r="C446" s="31"/>
      <c r="I446" s="43"/>
      <c r="J446" s="43"/>
      <c r="K446" s="43"/>
      <c r="N446" s="31"/>
      <c r="O446" s="43"/>
    </row>
    <row r="447" spans="3:15" ht="12.5" x14ac:dyDescent="0.25">
      <c r="C447" s="31"/>
      <c r="I447" s="43"/>
      <c r="J447" s="43"/>
      <c r="K447" s="43"/>
      <c r="N447" s="31"/>
      <c r="O447" s="43"/>
    </row>
    <row r="448" spans="3:15" ht="12.5" x14ac:dyDescent="0.25">
      <c r="C448" s="31"/>
      <c r="I448" s="43"/>
      <c r="J448" s="43"/>
      <c r="K448" s="43"/>
      <c r="N448" s="31"/>
      <c r="O448" s="43"/>
    </row>
    <row r="449" spans="3:15" ht="12.5" x14ac:dyDescent="0.25">
      <c r="C449" s="31"/>
      <c r="I449" s="43"/>
      <c r="J449" s="43"/>
      <c r="K449" s="43"/>
      <c r="N449" s="31"/>
      <c r="O449" s="43"/>
    </row>
    <row r="450" spans="3:15" ht="12.5" x14ac:dyDescent="0.25">
      <c r="C450" s="31"/>
      <c r="I450" s="43"/>
      <c r="J450" s="43"/>
      <c r="K450" s="43"/>
      <c r="N450" s="31"/>
      <c r="O450" s="43"/>
    </row>
    <row r="451" spans="3:15" ht="12.5" x14ac:dyDescent="0.25">
      <c r="C451" s="31"/>
      <c r="I451" s="43"/>
      <c r="J451" s="43"/>
      <c r="K451" s="43"/>
      <c r="N451" s="31"/>
      <c r="O451" s="43"/>
    </row>
    <row r="452" spans="3:15" ht="12.5" x14ac:dyDescent="0.25">
      <c r="C452" s="31"/>
      <c r="I452" s="43"/>
      <c r="J452" s="43"/>
      <c r="K452" s="43"/>
      <c r="N452" s="31"/>
      <c r="O452" s="43"/>
    </row>
    <row r="453" spans="3:15" ht="12.5" x14ac:dyDescent="0.25">
      <c r="C453" s="31"/>
      <c r="I453" s="43"/>
      <c r="J453" s="43"/>
      <c r="K453" s="43"/>
      <c r="N453" s="31"/>
      <c r="O453" s="43"/>
    </row>
    <row r="454" spans="3:15" ht="12.5" x14ac:dyDescent="0.25">
      <c r="C454" s="31"/>
      <c r="I454" s="43"/>
      <c r="J454" s="43"/>
      <c r="K454" s="43"/>
      <c r="N454" s="31"/>
      <c r="O454" s="43"/>
    </row>
    <row r="455" spans="3:15" ht="12.5" x14ac:dyDescent="0.25">
      <c r="C455" s="31"/>
      <c r="I455" s="43"/>
      <c r="J455" s="43"/>
      <c r="K455" s="43"/>
      <c r="N455" s="31"/>
      <c r="O455" s="43"/>
    </row>
    <row r="456" spans="3:15" ht="12.5" x14ac:dyDescent="0.25">
      <c r="C456" s="31"/>
      <c r="I456" s="43"/>
      <c r="J456" s="43"/>
      <c r="K456" s="43"/>
      <c r="N456" s="31"/>
      <c r="O456" s="43"/>
    </row>
    <row r="457" spans="3:15" ht="12.5" x14ac:dyDescent="0.25">
      <c r="C457" s="31"/>
      <c r="I457" s="43"/>
      <c r="J457" s="43"/>
      <c r="K457" s="43"/>
      <c r="N457" s="31"/>
      <c r="O457" s="43"/>
    </row>
    <row r="458" spans="3:15" ht="12.5" x14ac:dyDescent="0.25">
      <c r="C458" s="31"/>
      <c r="I458" s="43"/>
      <c r="J458" s="43"/>
      <c r="K458" s="43"/>
      <c r="N458" s="31"/>
      <c r="O458" s="43"/>
    </row>
    <row r="459" spans="3:15" ht="12.5" x14ac:dyDescent="0.25">
      <c r="C459" s="31"/>
      <c r="I459" s="43"/>
      <c r="J459" s="43"/>
      <c r="K459" s="43"/>
      <c r="N459" s="31"/>
      <c r="O459" s="43"/>
    </row>
    <row r="460" spans="3:15" ht="12.5" x14ac:dyDescent="0.25">
      <c r="C460" s="31"/>
      <c r="I460" s="43"/>
      <c r="J460" s="43"/>
      <c r="K460" s="43"/>
      <c r="N460" s="31"/>
      <c r="O460" s="43"/>
    </row>
    <row r="461" spans="3:15" ht="12.5" x14ac:dyDescent="0.25">
      <c r="C461" s="31"/>
      <c r="I461" s="43"/>
      <c r="J461" s="43"/>
      <c r="K461" s="43"/>
      <c r="N461" s="31"/>
      <c r="O461" s="43"/>
    </row>
    <row r="462" spans="3:15" ht="12.5" x14ac:dyDescent="0.25">
      <c r="C462" s="31"/>
      <c r="I462" s="43"/>
      <c r="J462" s="43"/>
      <c r="K462" s="43"/>
      <c r="N462" s="31"/>
      <c r="O462" s="43"/>
    </row>
    <row r="463" spans="3:15" ht="12.5" x14ac:dyDescent="0.25">
      <c r="C463" s="31"/>
      <c r="I463" s="43"/>
      <c r="J463" s="43"/>
      <c r="K463" s="43"/>
      <c r="N463" s="31"/>
      <c r="O463" s="43"/>
    </row>
    <row r="464" spans="3:15" ht="12.5" x14ac:dyDescent="0.25">
      <c r="C464" s="31"/>
      <c r="I464" s="43"/>
      <c r="J464" s="43"/>
      <c r="K464" s="43"/>
      <c r="N464" s="31"/>
      <c r="O464" s="43"/>
    </row>
    <row r="465" spans="3:15" ht="12.5" x14ac:dyDescent="0.25">
      <c r="C465" s="31"/>
      <c r="I465" s="43"/>
      <c r="J465" s="43"/>
      <c r="K465" s="43"/>
      <c r="N465" s="31"/>
      <c r="O465" s="43"/>
    </row>
    <row r="466" spans="3:15" ht="12.5" x14ac:dyDescent="0.25">
      <c r="C466" s="31"/>
      <c r="I466" s="43"/>
      <c r="J466" s="43"/>
      <c r="K466" s="43"/>
      <c r="N466" s="31"/>
      <c r="O466" s="43"/>
    </row>
    <row r="467" spans="3:15" ht="12.5" x14ac:dyDescent="0.25">
      <c r="C467" s="31"/>
      <c r="I467" s="43"/>
      <c r="J467" s="43"/>
      <c r="K467" s="43"/>
      <c r="N467" s="31"/>
      <c r="O467" s="43"/>
    </row>
    <row r="468" spans="3:15" ht="12.5" x14ac:dyDescent="0.25">
      <c r="C468" s="31"/>
      <c r="I468" s="43"/>
      <c r="J468" s="43"/>
      <c r="K468" s="43"/>
      <c r="N468" s="31"/>
      <c r="O468" s="43"/>
    </row>
    <row r="469" spans="3:15" ht="12.5" x14ac:dyDescent="0.25">
      <c r="C469" s="31"/>
      <c r="I469" s="43"/>
      <c r="J469" s="43"/>
      <c r="K469" s="43"/>
      <c r="N469" s="31"/>
      <c r="O469" s="43"/>
    </row>
    <row r="470" spans="3:15" ht="12.5" x14ac:dyDescent="0.25">
      <c r="C470" s="31"/>
      <c r="I470" s="43"/>
      <c r="J470" s="43"/>
      <c r="K470" s="43"/>
      <c r="N470" s="31"/>
      <c r="O470" s="43"/>
    </row>
    <row r="471" spans="3:15" ht="12.5" x14ac:dyDescent="0.25">
      <c r="C471" s="31"/>
      <c r="I471" s="43"/>
      <c r="J471" s="43"/>
      <c r="K471" s="43"/>
      <c r="N471" s="31"/>
      <c r="O471" s="43"/>
    </row>
    <row r="472" spans="3:15" ht="12.5" x14ac:dyDescent="0.25">
      <c r="C472" s="31"/>
      <c r="I472" s="43"/>
      <c r="J472" s="43"/>
      <c r="K472" s="43"/>
      <c r="N472" s="31"/>
      <c r="O472" s="43"/>
    </row>
    <row r="473" spans="3:15" ht="12.5" x14ac:dyDescent="0.25">
      <c r="C473" s="31"/>
      <c r="I473" s="43"/>
      <c r="J473" s="43"/>
      <c r="K473" s="43"/>
      <c r="N473" s="31"/>
      <c r="O473" s="43"/>
    </row>
    <row r="474" spans="3:15" ht="12.5" x14ac:dyDescent="0.25">
      <c r="C474" s="31"/>
      <c r="I474" s="43"/>
      <c r="J474" s="43"/>
      <c r="K474" s="43"/>
      <c r="N474" s="31"/>
      <c r="O474" s="43"/>
    </row>
    <row r="475" spans="3:15" ht="12.5" x14ac:dyDescent="0.25">
      <c r="C475" s="31"/>
      <c r="I475" s="43"/>
      <c r="J475" s="43"/>
      <c r="K475" s="43"/>
      <c r="N475" s="31"/>
      <c r="O475" s="43"/>
    </row>
    <row r="476" spans="3:15" ht="12.5" x14ac:dyDescent="0.25">
      <c r="C476" s="31"/>
      <c r="I476" s="43"/>
      <c r="J476" s="43"/>
      <c r="K476" s="43"/>
      <c r="N476" s="31"/>
      <c r="O476" s="43"/>
    </row>
    <row r="477" spans="3:15" ht="12.5" x14ac:dyDescent="0.25">
      <c r="C477" s="31"/>
      <c r="I477" s="43"/>
      <c r="J477" s="43"/>
      <c r="K477" s="43"/>
      <c r="N477" s="31"/>
      <c r="O477" s="43"/>
    </row>
    <row r="478" spans="3:15" ht="12.5" x14ac:dyDescent="0.25">
      <c r="C478" s="31"/>
      <c r="I478" s="43"/>
      <c r="J478" s="43"/>
      <c r="K478" s="43"/>
      <c r="N478" s="31"/>
      <c r="O478" s="43"/>
    </row>
    <row r="479" spans="3:15" ht="12.5" x14ac:dyDescent="0.25">
      <c r="C479" s="31"/>
      <c r="I479" s="43"/>
      <c r="J479" s="43"/>
      <c r="K479" s="43"/>
      <c r="N479" s="31"/>
      <c r="O479" s="43"/>
    </row>
    <row r="480" spans="3:15" ht="12.5" x14ac:dyDescent="0.25">
      <c r="C480" s="31"/>
      <c r="I480" s="43"/>
      <c r="J480" s="43"/>
      <c r="K480" s="43"/>
      <c r="N480" s="31"/>
      <c r="O480" s="43"/>
    </row>
    <row r="481" spans="3:15" ht="12.5" x14ac:dyDescent="0.25">
      <c r="C481" s="31"/>
      <c r="I481" s="43"/>
      <c r="J481" s="43"/>
      <c r="K481" s="43"/>
      <c r="N481" s="31"/>
      <c r="O481" s="43"/>
    </row>
    <row r="482" spans="3:15" ht="12.5" x14ac:dyDescent="0.25">
      <c r="C482" s="31"/>
      <c r="I482" s="43"/>
      <c r="J482" s="43"/>
      <c r="K482" s="43"/>
      <c r="N482" s="31"/>
      <c r="O482" s="43"/>
    </row>
    <row r="483" spans="3:15" ht="12.5" x14ac:dyDescent="0.25">
      <c r="C483" s="31"/>
      <c r="I483" s="43"/>
      <c r="J483" s="43"/>
      <c r="K483" s="43"/>
      <c r="N483" s="31"/>
      <c r="O483" s="43"/>
    </row>
    <row r="484" spans="3:15" ht="12.5" x14ac:dyDescent="0.25">
      <c r="C484" s="31"/>
      <c r="I484" s="43"/>
      <c r="J484" s="43"/>
      <c r="K484" s="43"/>
      <c r="N484" s="31"/>
      <c r="O484" s="43"/>
    </row>
    <row r="485" spans="3:15" ht="12.5" x14ac:dyDescent="0.25">
      <c r="C485" s="31"/>
      <c r="I485" s="43"/>
      <c r="J485" s="43"/>
      <c r="K485" s="43"/>
      <c r="N485" s="31"/>
      <c r="O485" s="43"/>
    </row>
    <row r="486" spans="3:15" ht="12.5" x14ac:dyDescent="0.25">
      <c r="C486" s="31"/>
      <c r="I486" s="43"/>
      <c r="J486" s="43"/>
      <c r="K486" s="43"/>
      <c r="N486" s="31"/>
      <c r="O486" s="43"/>
    </row>
    <row r="487" spans="3:15" ht="12.5" x14ac:dyDescent="0.25">
      <c r="C487" s="31"/>
      <c r="I487" s="43"/>
      <c r="J487" s="43"/>
      <c r="K487" s="43"/>
      <c r="N487" s="31"/>
      <c r="O487" s="43"/>
    </row>
    <row r="488" spans="3:15" ht="12.5" x14ac:dyDescent="0.25">
      <c r="C488" s="31"/>
      <c r="I488" s="43"/>
      <c r="J488" s="43"/>
      <c r="K488" s="43"/>
      <c r="N488" s="31"/>
      <c r="O488" s="43"/>
    </row>
    <row r="489" spans="3:15" ht="12.5" x14ac:dyDescent="0.25">
      <c r="C489" s="31"/>
      <c r="I489" s="43"/>
      <c r="J489" s="43"/>
      <c r="K489" s="43"/>
      <c r="N489" s="31"/>
      <c r="O489" s="43"/>
    </row>
    <row r="490" spans="3:15" ht="12.5" x14ac:dyDescent="0.25">
      <c r="C490" s="31"/>
      <c r="I490" s="43"/>
      <c r="J490" s="43"/>
      <c r="K490" s="43"/>
      <c r="N490" s="31"/>
      <c r="O490" s="43"/>
    </row>
    <row r="491" spans="3:15" ht="12.5" x14ac:dyDescent="0.25">
      <c r="C491" s="31"/>
      <c r="I491" s="43"/>
      <c r="J491" s="43"/>
      <c r="K491" s="43"/>
      <c r="N491" s="31"/>
      <c r="O491" s="43"/>
    </row>
    <row r="492" spans="3:15" ht="12.5" x14ac:dyDescent="0.25">
      <c r="C492" s="31"/>
      <c r="I492" s="43"/>
      <c r="J492" s="43"/>
      <c r="K492" s="43"/>
      <c r="N492" s="31"/>
      <c r="O492" s="43"/>
    </row>
    <row r="493" spans="3:15" ht="12.5" x14ac:dyDescent="0.25">
      <c r="C493" s="31"/>
      <c r="I493" s="43"/>
      <c r="J493" s="43"/>
      <c r="K493" s="43"/>
      <c r="N493" s="31"/>
      <c r="O493" s="43"/>
    </row>
    <row r="494" spans="3:15" ht="12.5" x14ac:dyDescent="0.25">
      <c r="C494" s="31"/>
      <c r="I494" s="43"/>
      <c r="J494" s="43"/>
      <c r="K494" s="43"/>
      <c r="N494" s="31"/>
      <c r="O494" s="43"/>
    </row>
    <row r="495" spans="3:15" ht="12.5" x14ac:dyDescent="0.25">
      <c r="C495" s="31"/>
      <c r="I495" s="43"/>
      <c r="J495" s="43"/>
      <c r="K495" s="43"/>
      <c r="N495" s="31"/>
      <c r="O495" s="43"/>
    </row>
    <row r="496" spans="3:15" ht="12.5" x14ac:dyDescent="0.25">
      <c r="C496" s="31"/>
      <c r="I496" s="43"/>
      <c r="J496" s="43"/>
      <c r="K496" s="43"/>
      <c r="N496" s="31"/>
      <c r="O496" s="43"/>
    </row>
    <row r="497" spans="3:15" ht="12.5" x14ac:dyDescent="0.25">
      <c r="C497" s="31"/>
      <c r="I497" s="43"/>
      <c r="J497" s="43"/>
      <c r="K497" s="43"/>
      <c r="N497" s="31"/>
      <c r="O497" s="43"/>
    </row>
    <row r="498" spans="3:15" ht="12.5" x14ac:dyDescent="0.25">
      <c r="C498" s="31"/>
      <c r="I498" s="43"/>
      <c r="J498" s="43"/>
      <c r="K498" s="43"/>
      <c r="N498" s="31"/>
      <c r="O498" s="43"/>
    </row>
    <row r="499" spans="3:15" ht="12.5" x14ac:dyDescent="0.25">
      <c r="C499" s="31"/>
      <c r="I499" s="43"/>
      <c r="J499" s="43"/>
      <c r="K499" s="43"/>
      <c r="N499" s="31"/>
      <c r="O499" s="43"/>
    </row>
    <row r="500" spans="3:15" ht="12.5" x14ac:dyDescent="0.25">
      <c r="C500" s="31"/>
      <c r="I500" s="43"/>
      <c r="J500" s="43"/>
      <c r="K500" s="43"/>
      <c r="N500" s="31"/>
      <c r="O500" s="43"/>
    </row>
    <row r="501" spans="3:15" ht="12.5" x14ac:dyDescent="0.25">
      <c r="C501" s="31"/>
      <c r="I501" s="43"/>
      <c r="J501" s="43"/>
      <c r="K501" s="43"/>
      <c r="N501" s="31"/>
      <c r="O501" s="43"/>
    </row>
    <row r="502" spans="3:15" ht="12.5" x14ac:dyDescent="0.25">
      <c r="C502" s="31"/>
      <c r="I502" s="43"/>
      <c r="J502" s="43"/>
      <c r="K502" s="43"/>
      <c r="N502" s="31"/>
      <c r="O502" s="43"/>
    </row>
    <row r="503" spans="3:15" ht="12.5" x14ac:dyDescent="0.25">
      <c r="C503" s="31"/>
      <c r="I503" s="43"/>
      <c r="J503" s="43"/>
      <c r="K503" s="43"/>
      <c r="N503" s="31"/>
      <c r="O503" s="43"/>
    </row>
    <row r="504" spans="3:15" ht="12.5" x14ac:dyDescent="0.25">
      <c r="C504" s="31"/>
      <c r="I504" s="43"/>
      <c r="J504" s="43"/>
      <c r="K504" s="43"/>
      <c r="N504" s="31"/>
      <c r="O504" s="43"/>
    </row>
    <row r="505" spans="3:15" ht="12.5" x14ac:dyDescent="0.25">
      <c r="C505" s="31"/>
      <c r="I505" s="43"/>
      <c r="J505" s="43"/>
      <c r="K505" s="43"/>
      <c r="N505" s="31"/>
      <c r="O505" s="43"/>
    </row>
    <row r="506" spans="3:15" ht="12.5" x14ac:dyDescent="0.25">
      <c r="C506" s="31"/>
      <c r="I506" s="43"/>
      <c r="J506" s="43"/>
      <c r="K506" s="43"/>
      <c r="N506" s="31"/>
      <c r="O506" s="43"/>
    </row>
    <row r="507" spans="3:15" ht="12.5" x14ac:dyDescent="0.25">
      <c r="C507" s="31"/>
      <c r="I507" s="43"/>
      <c r="J507" s="43"/>
      <c r="K507" s="43"/>
      <c r="N507" s="31"/>
      <c r="O507" s="43"/>
    </row>
    <row r="508" spans="3:15" ht="12.5" x14ac:dyDescent="0.25">
      <c r="C508" s="31"/>
      <c r="I508" s="43"/>
      <c r="J508" s="43"/>
      <c r="K508" s="43"/>
      <c r="N508" s="31"/>
      <c r="O508" s="43"/>
    </row>
    <row r="509" spans="3:15" ht="12.5" x14ac:dyDescent="0.25">
      <c r="C509" s="31"/>
      <c r="I509" s="43"/>
      <c r="J509" s="43"/>
      <c r="K509" s="43"/>
      <c r="N509" s="31"/>
      <c r="O509" s="43"/>
    </row>
    <row r="510" spans="3:15" ht="12.5" x14ac:dyDescent="0.25">
      <c r="C510" s="31"/>
      <c r="I510" s="43"/>
      <c r="J510" s="43"/>
      <c r="K510" s="43"/>
      <c r="N510" s="31"/>
      <c r="O510" s="43"/>
    </row>
    <row r="511" spans="3:15" ht="12.5" x14ac:dyDescent="0.25">
      <c r="C511" s="31"/>
      <c r="I511" s="43"/>
      <c r="J511" s="43"/>
      <c r="K511" s="43"/>
      <c r="N511" s="31"/>
      <c r="O511" s="43"/>
    </row>
    <row r="512" spans="3:15" ht="12.5" x14ac:dyDescent="0.25">
      <c r="C512" s="31"/>
      <c r="I512" s="43"/>
      <c r="J512" s="43"/>
      <c r="K512" s="43"/>
      <c r="N512" s="31"/>
      <c r="O512" s="43"/>
    </row>
    <row r="513" spans="3:15" ht="12.5" x14ac:dyDescent="0.25">
      <c r="C513" s="31"/>
      <c r="I513" s="43"/>
      <c r="J513" s="43"/>
      <c r="K513" s="43"/>
      <c r="N513" s="31"/>
      <c r="O513" s="43"/>
    </row>
    <row r="514" spans="3:15" ht="12.5" x14ac:dyDescent="0.25">
      <c r="C514" s="31"/>
      <c r="I514" s="43"/>
      <c r="J514" s="43"/>
      <c r="K514" s="43"/>
      <c r="N514" s="31"/>
      <c r="O514" s="43"/>
    </row>
    <row r="515" spans="3:15" ht="12.5" x14ac:dyDescent="0.25">
      <c r="C515" s="31"/>
      <c r="I515" s="43"/>
      <c r="J515" s="43"/>
      <c r="K515" s="43"/>
      <c r="N515" s="31"/>
      <c r="O515" s="43"/>
    </row>
    <row r="516" spans="3:15" ht="12.5" x14ac:dyDescent="0.25">
      <c r="C516" s="31"/>
      <c r="I516" s="43"/>
      <c r="J516" s="43"/>
      <c r="K516" s="43"/>
      <c r="N516" s="31"/>
      <c r="O516" s="43"/>
    </row>
    <row r="517" spans="3:15" ht="12.5" x14ac:dyDescent="0.25">
      <c r="C517" s="31"/>
      <c r="I517" s="43"/>
      <c r="J517" s="43"/>
      <c r="K517" s="43"/>
      <c r="N517" s="31"/>
      <c r="O517" s="43"/>
    </row>
    <row r="518" spans="3:15" ht="12.5" x14ac:dyDescent="0.25">
      <c r="C518" s="31"/>
      <c r="I518" s="43"/>
      <c r="J518" s="43"/>
      <c r="K518" s="43"/>
      <c r="N518" s="31"/>
      <c r="O518" s="43"/>
    </row>
    <row r="519" spans="3:15" ht="12.5" x14ac:dyDescent="0.25">
      <c r="C519" s="31"/>
      <c r="I519" s="43"/>
      <c r="J519" s="43"/>
      <c r="K519" s="43"/>
      <c r="N519" s="31"/>
      <c r="O519" s="43"/>
    </row>
    <row r="520" spans="3:15" ht="12.5" x14ac:dyDescent="0.25">
      <c r="C520" s="31"/>
      <c r="I520" s="43"/>
      <c r="J520" s="43"/>
      <c r="K520" s="43"/>
      <c r="N520" s="31"/>
      <c r="O520" s="43"/>
    </row>
    <row r="521" spans="3:15" ht="12.5" x14ac:dyDescent="0.25">
      <c r="C521" s="31"/>
      <c r="I521" s="43"/>
      <c r="J521" s="43"/>
      <c r="K521" s="43"/>
      <c r="N521" s="31"/>
      <c r="O521" s="43"/>
    </row>
    <row r="522" spans="3:15" ht="12.5" x14ac:dyDescent="0.25">
      <c r="C522" s="31"/>
      <c r="I522" s="43"/>
      <c r="J522" s="43"/>
      <c r="K522" s="43"/>
      <c r="N522" s="31"/>
      <c r="O522" s="43"/>
    </row>
    <row r="523" spans="3:15" ht="12.5" x14ac:dyDescent="0.25">
      <c r="C523" s="31"/>
      <c r="I523" s="43"/>
      <c r="J523" s="43"/>
      <c r="K523" s="43"/>
      <c r="N523" s="31"/>
      <c r="O523" s="43"/>
    </row>
    <row r="524" spans="3:15" ht="12.5" x14ac:dyDescent="0.25">
      <c r="C524" s="31"/>
      <c r="I524" s="43"/>
      <c r="J524" s="43"/>
      <c r="K524" s="43"/>
      <c r="N524" s="31"/>
      <c r="O524" s="43"/>
    </row>
    <row r="525" spans="3:15" ht="12.5" x14ac:dyDescent="0.25">
      <c r="C525" s="31"/>
      <c r="I525" s="43"/>
      <c r="J525" s="43"/>
      <c r="K525" s="43"/>
      <c r="N525" s="31"/>
      <c r="O525" s="43"/>
    </row>
    <row r="526" spans="3:15" ht="12.5" x14ac:dyDescent="0.25">
      <c r="C526" s="31"/>
      <c r="I526" s="43"/>
      <c r="J526" s="43"/>
      <c r="K526" s="43"/>
      <c r="N526" s="31"/>
      <c r="O526" s="43"/>
    </row>
    <row r="527" spans="3:15" ht="12.5" x14ac:dyDescent="0.25">
      <c r="C527" s="31"/>
      <c r="I527" s="43"/>
      <c r="J527" s="43"/>
      <c r="K527" s="43"/>
      <c r="N527" s="31"/>
      <c r="O527" s="43"/>
    </row>
    <row r="528" spans="3:15" ht="12.5" x14ac:dyDescent="0.25">
      <c r="C528" s="31"/>
      <c r="I528" s="43"/>
      <c r="J528" s="43"/>
      <c r="K528" s="43"/>
      <c r="N528" s="31"/>
      <c r="O528" s="43"/>
    </row>
    <row r="529" spans="3:15" ht="12.5" x14ac:dyDescent="0.25">
      <c r="C529" s="31"/>
      <c r="I529" s="43"/>
      <c r="J529" s="43"/>
      <c r="K529" s="43"/>
      <c r="N529" s="31"/>
      <c r="O529" s="43"/>
    </row>
    <row r="530" spans="3:15" ht="12.5" x14ac:dyDescent="0.25">
      <c r="C530" s="31"/>
      <c r="I530" s="43"/>
      <c r="J530" s="43"/>
      <c r="K530" s="43"/>
      <c r="N530" s="31"/>
      <c r="O530" s="43"/>
    </row>
    <row r="531" spans="3:15" ht="12.5" x14ac:dyDescent="0.25">
      <c r="C531" s="31"/>
      <c r="I531" s="43"/>
      <c r="J531" s="43"/>
      <c r="K531" s="43"/>
      <c r="N531" s="31"/>
      <c r="O531" s="43"/>
    </row>
    <row r="532" spans="3:15" ht="12.5" x14ac:dyDescent="0.25">
      <c r="C532" s="31"/>
      <c r="I532" s="43"/>
      <c r="J532" s="43"/>
      <c r="K532" s="43"/>
      <c r="N532" s="31"/>
      <c r="O532" s="43"/>
    </row>
    <row r="533" spans="3:15" ht="12.5" x14ac:dyDescent="0.25">
      <c r="C533" s="31"/>
      <c r="I533" s="43"/>
      <c r="J533" s="43"/>
      <c r="K533" s="43"/>
      <c r="N533" s="31"/>
      <c r="O533" s="43"/>
    </row>
    <row r="534" spans="3:15" ht="12.5" x14ac:dyDescent="0.25">
      <c r="C534" s="31"/>
      <c r="I534" s="43"/>
      <c r="J534" s="43"/>
      <c r="K534" s="43"/>
      <c r="N534" s="31"/>
      <c r="O534" s="43"/>
    </row>
    <row r="535" spans="3:15" ht="12.5" x14ac:dyDescent="0.25">
      <c r="C535" s="31"/>
      <c r="I535" s="43"/>
      <c r="J535" s="43"/>
      <c r="K535" s="43"/>
      <c r="N535" s="31"/>
      <c r="O535" s="43"/>
    </row>
    <row r="536" spans="3:15" ht="12.5" x14ac:dyDescent="0.25">
      <c r="C536" s="31"/>
      <c r="I536" s="43"/>
      <c r="J536" s="43"/>
      <c r="K536" s="43"/>
      <c r="N536" s="31"/>
      <c r="O536" s="43"/>
    </row>
    <row r="537" spans="3:15" ht="12.5" x14ac:dyDescent="0.25">
      <c r="C537" s="31"/>
      <c r="I537" s="43"/>
      <c r="J537" s="43"/>
      <c r="K537" s="43"/>
      <c r="N537" s="31"/>
      <c r="O537" s="43"/>
    </row>
    <row r="538" spans="3:15" ht="12.5" x14ac:dyDescent="0.25">
      <c r="C538" s="31"/>
      <c r="I538" s="43"/>
      <c r="J538" s="43"/>
      <c r="K538" s="43"/>
      <c r="N538" s="31"/>
      <c r="O538" s="43"/>
    </row>
    <row r="539" spans="3:15" ht="12.5" x14ac:dyDescent="0.25">
      <c r="C539" s="31"/>
      <c r="I539" s="43"/>
      <c r="J539" s="43"/>
      <c r="K539" s="43"/>
      <c r="N539" s="31"/>
      <c r="O539" s="43"/>
    </row>
    <row r="540" spans="3:15" ht="12.5" x14ac:dyDescent="0.25">
      <c r="C540" s="31"/>
      <c r="I540" s="43"/>
      <c r="J540" s="43"/>
      <c r="K540" s="43"/>
      <c r="N540" s="31"/>
      <c r="O540" s="43"/>
    </row>
    <row r="541" spans="3:15" ht="12.5" x14ac:dyDescent="0.25">
      <c r="C541" s="31"/>
      <c r="I541" s="43"/>
      <c r="J541" s="43"/>
      <c r="K541" s="43"/>
      <c r="N541" s="31"/>
      <c r="O541" s="43"/>
    </row>
    <row r="542" spans="3:15" ht="12.5" x14ac:dyDescent="0.25">
      <c r="C542" s="31"/>
      <c r="I542" s="43"/>
      <c r="J542" s="43"/>
      <c r="K542" s="43"/>
      <c r="N542" s="31"/>
      <c r="O542" s="43"/>
    </row>
    <row r="543" spans="3:15" ht="12.5" x14ac:dyDescent="0.25">
      <c r="C543" s="31"/>
      <c r="I543" s="43"/>
      <c r="J543" s="43"/>
      <c r="K543" s="43"/>
      <c r="N543" s="31"/>
      <c r="O543" s="43"/>
    </row>
    <row r="544" spans="3:15" ht="12.5" x14ac:dyDescent="0.25">
      <c r="C544" s="31"/>
      <c r="I544" s="43"/>
      <c r="J544" s="43"/>
      <c r="K544" s="43"/>
      <c r="N544" s="31"/>
      <c r="O544" s="43"/>
    </row>
    <row r="545" spans="3:15" ht="12.5" x14ac:dyDescent="0.25">
      <c r="C545" s="31"/>
      <c r="I545" s="43"/>
      <c r="J545" s="43"/>
      <c r="K545" s="43"/>
      <c r="N545" s="31"/>
      <c r="O545" s="43"/>
    </row>
    <row r="546" spans="3:15" ht="12.5" x14ac:dyDescent="0.25">
      <c r="C546" s="31"/>
      <c r="I546" s="43"/>
      <c r="J546" s="43"/>
      <c r="K546" s="43"/>
      <c r="N546" s="31"/>
      <c r="O546" s="43"/>
    </row>
    <row r="547" spans="3:15" ht="12.5" x14ac:dyDescent="0.25">
      <c r="C547" s="31"/>
      <c r="I547" s="43"/>
      <c r="J547" s="43"/>
      <c r="K547" s="43"/>
      <c r="N547" s="31"/>
      <c r="O547" s="43"/>
    </row>
    <row r="548" spans="3:15" ht="12.5" x14ac:dyDescent="0.25">
      <c r="C548" s="31"/>
      <c r="I548" s="43"/>
      <c r="J548" s="43"/>
      <c r="K548" s="43"/>
      <c r="N548" s="31"/>
      <c r="O548" s="43"/>
    </row>
    <row r="549" spans="3:15" ht="12.5" x14ac:dyDescent="0.25">
      <c r="C549" s="31"/>
      <c r="I549" s="43"/>
      <c r="J549" s="43"/>
      <c r="K549" s="43"/>
      <c r="N549" s="31"/>
      <c r="O549" s="43"/>
    </row>
    <row r="550" spans="3:15" ht="12.5" x14ac:dyDescent="0.25">
      <c r="C550" s="31"/>
      <c r="I550" s="43"/>
      <c r="J550" s="43"/>
      <c r="K550" s="43"/>
      <c r="N550" s="31"/>
      <c r="O550" s="43"/>
    </row>
    <row r="551" spans="3:15" ht="12.5" x14ac:dyDescent="0.25">
      <c r="C551" s="31"/>
      <c r="I551" s="43"/>
      <c r="J551" s="43"/>
      <c r="K551" s="43"/>
      <c r="N551" s="31"/>
      <c r="O551" s="43"/>
    </row>
    <row r="552" spans="3:15" ht="12.5" x14ac:dyDescent="0.25">
      <c r="C552" s="31"/>
      <c r="I552" s="43"/>
      <c r="J552" s="43"/>
      <c r="K552" s="43"/>
      <c r="N552" s="31"/>
      <c r="O552" s="43"/>
    </row>
    <row r="553" spans="3:15" ht="12.5" x14ac:dyDescent="0.25">
      <c r="C553" s="31"/>
      <c r="I553" s="43"/>
      <c r="J553" s="43"/>
      <c r="K553" s="43"/>
      <c r="N553" s="31"/>
      <c r="O553" s="43"/>
    </row>
    <row r="554" spans="3:15" ht="12.5" x14ac:dyDescent="0.25">
      <c r="C554" s="31"/>
      <c r="I554" s="43"/>
      <c r="J554" s="43"/>
      <c r="K554" s="43"/>
      <c r="N554" s="31"/>
      <c r="O554" s="43"/>
    </row>
    <row r="555" spans="3:15" ht="12.5" x14ac:dyDescent="0.25">
      <c r="C555" s="31"/>
      <c r="I555" s="43"/>
      <c r="J555" s="43"/>
      <c r="K555" s="43"/>
      <c r="N555" s="31"/>
      <c r="O555" s="43"/>
    </row>
    <row r="556" spans="3:15" ht="12.5" x14ac:dyDescent="0.25">
      <c r="C556" s="31"/>
      <c r="I556" s="43"/>
      <c r="J556" s="43"/>
      <c r="K556" s="43"/>
      <c r="N556" s="31"/>
      <c r="O556" s="43"/>
    </row>
    <row r="557" spans="3:15" ht="12.5" x14ac:dyDescent="0.25">
      <c r="C557" s="31"/>
      <c r="I557" s="43"/>
      <c r="J557" s="43"/>
      <c r="K557" s="43"/>
      <c r="N557" s="31"/>
      <c r="O557" s="43"/>
    </row>
    <row r="558" spans="3:15" ht="12.5" x14ac:dyDescent="0.25">
      <c r="C558" s="31"/>
      <c r="I558" s="43"/>
      <c r="J558" s="43"/>
      <c r="K558" s="43"/>
      <c r="N558" s="31"/>
      <c r="O558" s="43"/>
    </row>
    <row r="559" spans="3:15" ht="12.5" x14ac:dyDescent="0.25">
      <c r="C559" s="31"/>
      <c r="I559" s="43"/>
      <c r="J559" s="43"/>
      <c r="K559" s="43"/>
      <c r="N559" s="31"/>
      <c r="O559" s="43"/>
    </row>
    <row r="560" spans="3:15" ht="12.5" x14ac:dyDescent="0.25">
      <c r="C560" s="31"/>
      <c r="I560" s="43"/>
      <c r="J560" s="43"/>
      <c r="K560" s="43"/>
      <c r="N560" s="31"/>
      <c r="O560" s="43"/>
    </row>
    <row r="561" spans="3:15" ht="12.5" x14ac:dyDescent="0.25">
      <c r="C561" s="31"/>
      <c r="I561" s="43"/>
      <c r="J561" s="43"/>
      <c r="K561" s="43"/>
      <c r="N561" s="31"/>
      <c r="O561" s="43"/>
    </row>
    <row r="562" spans="3:15" ht="12.5" x14ac:dyDescent="0.25">
      <c r="C562" s="31"/>
      <c r="I562" s="43"/>
      <c r="J562" s="43"/>
      <c r="K562" s="43"/>
      <c r="N562" s="31"/>
      <c r="O562" s="43"/>
    </row>
    <row r="563" spans="3:15" ht="12.5" x14ac:dyDescent="0.25">
      <c r="C563" s="31"/>
      <c r="I563" s="43"/>
      <c r="J563" s="43"/>
      <c r="K563" s="43"/>
      <c r="N563" s="31"/>
      <c r="O563" s="43"/>
    </row>
    <row r="564" spans="3:15" ht="12.5" x14ac:dyDescent="0.25">
      <c r="C564" s="31"/>
      <c r="I564" s="43"/>
      <c r="J564" s="43"/>
      <c r="K564" s="43"/>
      <c r="N564" s="31"/>
      <c r="O564" s="43"/>
    </row>
    <row r="565" spans="3:15" ht="12.5" x14ac:dyDescent="0.25">
      <c r="C565" s="31"/>
      <c r="I565" s="43"/>
      <c r="J565" s="43"/>
      <c r="K565" s="43"/>
      <c r="N565" s="31"/>
      <c r="O565" s="43"/>
    </row>
    <row r="566" spans="3:15" ht="12.5" x14ac:dyDescent="0.25">
      <c r="C566" s="31"/>
      <c r="I566" s="43"/>
      <c r="J566" s="43"/>
      <c r="K566" s="43"/>
      <c r="N566" s="31"/>
      <c r="O566" s="43"/>
    </row>
    <row r="567" spans="3:15" ht="12.5" x14ac:dyDescent="0.25">
      <c r="C567" s="31"/>
      <c r="I567" s="43"/>
      <c r="J567" s="43"/>
      <c r="K567" s="43"/>
      <c r="N567" s="31"/>
      <c r="O567" s="43"/>
    </row>
    <row r="568" spans="3:15" ht="12.5" x14ac:dyDescent="0.25">
      <c r="C568" s="31"/>
      <c r="I568" s="43"/>
      <c r="J568" s="43"/>
      <c r="K568" s="43"/>
      <c r="N568" s="31"/>
      <c r="O568" s="43"/>
    </row>
    <row r="569" spans="3:15" ht="12.5" x14ac:dyDescent="0.25">
      <c r="C569" s="31"/>
      <c r="I569" s="43"/>
      <c r="J569" s="43"/>
      <c r="K569" s="43"/>
      <c r="N569" s="31"/>
      <c r="O569" s="43"/>
    </row>
    <row r="570" spans="3:15" ht="12.5" x14ac:dyDescent="0.25">
      <c r="C570" s="31"/>
      <c r="I570" s="43"/>
      <c r="J570" s="43"/>
      <c r="K570" s="43"/>
      <c r="N570" s="31"/>
      <c r="O570" s="43"/>
    </row>
    <row r="571" spans="3:15" ht="12.5" x14ac:dyDescent="0.25">
      <c r="C571" s="31"/>
      <c r="I571" s="43"/>
      <c r="J571" s="43"/>
      <c r="K571" s="43"/>
      <c r="N571" s="31"/>
      <c r="O571" s="43"/>
    </row>
    <row r="572" spans="3:15" ht="12.5" x14ac:dyDescent="0.25">
      <c r="C572" s="31"/>
      <c r="I572" s="43"/>
      <c r="J572" s="43"/>
      <c r="K572" s="43"/>
      <c r="N572" s="31"/>
      <c r="O572" s="43"/>
    </row>
    <row r="573" spans="3:15" ht="12.5" x14ac:dyDescent="0.25">
      <c r="C573" s="31"/>
      <c r="I573" s="43"/>
      <c r="J573" s="43"/>
      <c r="K573" s="43"/>
      <c r="N573" s="31"/>
      <c r="O573" s="43"/>
    </row>
    <row r="574" spans="3:15" ht="12.5" x14ac:dyDescent="0.25">
      <c r="C574" s="31"/>
      <c r="I574" s="43"/>
      <c r="J574" s="43"/>
      <c r="K574" s="43"/>
      <c r="N574" s="31"/>
      <c r="O574" s="43"/>
    </row>
    <row r="575" spans="3:15" ht="12.5" x14ac:dyDescent="0.25">
      <c r="C575" s="31"/>
      <c r="I575" s="43"/>
      <c r="J575" s="43"/>
      <c r="K575" s="43"/>
      <c r="N575" s="31"/>
      <c r="O575" s="43"/>
    </row>
    <row r="576" spans="3:15" ht="12.5" x14ac:dyDescent="0.25">
      <c r="C576" s="31"/>
      <c r="I576" s="43"/>
      <c r="J576" s="43"/>
      <c r="K576" s="43"/>
      <c r="N576" s="31"/>
      <c r="O576" s="43"/>
    </row>
    <row r="577" spans="3:15" ht="12.5" x14ac:dyDescent="0.25">
      <c r="C577" s="31"/>
      <c r="I577" s="43"/>
      <c r="J577" s="43"/>
      <c r="K577" s="43"/>
      <c r="N577" s="31"/>
      <c r="O577" s="43"/>
    </row>
    <row r="578" spans="3:15" ht="12.5" x14ac:dyDescent="0.25">
      <c r="C578" s="31"/>
      <c r="I578" s="43"/>
      <c r="J578" s="43"/>
      <c r="K578" s="43"/>
      <c r="N578" s="31"/>
      <c r="O578" s="43"/>
    </row>
    <row r="579" spans="3:15" ht="12.5" x14ac:dyDescent="0.25">
      <c r="C579" s="31"/>
      <c r="I579" s="43"/>
      <c r="J579" s="43"/>
      <c r="K579" s="43"/>
      <c r="N579" s="31"/>
      <c r="O579" s="43"/>
    </row>
    <row r="580" spans="3:15" ht="12.5" x14ac:dyDescent="0.25">
      <c r="C580" s="31"/>
      <c r="I580" s="43"/>
      <c r="J580" s="43"/>
      <c r="K580" s="43"/>
      <c r="N580" s="31"/>
      <c r="O580" s="43"/>
    </row>
    <row r="581" spans="3:15" ht="12.5" x14ac:dyDescent="0.25">
      <c r="C581" s="31"/>
      <c r="I581" s="43"/>
      <c r="J581" s="43"/>
      <c r="K581" s="43"/>
      <c r="N581" s="31"/>
      <c r="O581" s="43"/>
    </row>
    <row r="582" spans="3:15" ht="12.5" x14ac:dyDescent="0.25">
      <c r="C582" s="31"/>
      <c r="I582" s="43"/>
      <c r="J582" s="43"/>
      <c r="K582" s="43"/>
      <c r="N582" s="31"/>
      <c r="O582" s="43"/>
    </row>
    <row r="583" spans="3:15" ht="12.5" x14ac:dyDescent="0.25">
      <c r="C583" s="31"/>
      <c r="I583" s="43"/>
      <c r="J583" s="43"/>
      <c r="K583" s="43"/>
      <c r="N583" s="31"/>
      <c r="O583" s="43"/>
    </row>
    <row r="584" spans="3:15" ht="12.5" x14ac:dyDescent="0.25">
      <c r="C584" s="31"/>
      <c r="I584" s="43"/>
      <c r="J584" s="43"/>
      <c r="K584" s="43"/>
      <c r="N584" s="31"/>
      <c r="O584" s="43"/>
    </row>
    <row r="585" spans="3:15" ht="12.5" x14ac:dyDescent="0.25">
      <c r="C585" s="31"/>
      <c r="I585" s="43"/>
      <c r="J585" s="43"/>
      <c r="K585" s="43"/>
      <c r="N585" s="31"/>
      <c r="O585" s="43"/>
    </row>
    <row r="586" spans="3:15" ht="12.5" x14ac:dyDescent="0.25">
      <c r="C586" s="31"/>
      <c r="I586" s="43"/>
      <c r="J586" s="43"/>
      <c r="K586" s="43"/>
      <c r="N586" s="31"/>
      <c r="O586" s="43"/>
    </row>
    <row r="587" spans="3:15" ht="12.5" x14ac:dyDescent="0.25">
      <c r="C587" s="31"/>
      <c r="I587" s="43"/>
      <c r="J587" s="43"/>
      <c r="K587" s="43"/>
      <c r="N587" s="31"/>
      <c r="O587" s="43"/>
    </row>
    <row r="588" spans="3:15" ht="12.5" x14ac:dyDescent="0.25">
      <c r="C588" s="31"/>
      <c r="I588" s="43"/>
      <c r="J588" s="43"/>
      <c r="K588" s="43"/>
      <c r="N588" s="31"/>
      <c r="O588" s="43"/>
    </row>
    <row r="589" spans="3:15" ht="12.5" x14ac:dyDescent="0.25">
      <c r="C589" s="31"/>
      <c r="I589" s="43"/>
      <c r="J589" s="43"/>
      <c r="K589" s="43"/>
      <c r="N589" s="31"/>
      <c r="O589" s="43"/>
    </row>
    <row r="590" spans="3:15" ht="12.5" x14ac:dyDescent="0.25">
      <c r="C590" s="31"/>
      <c r="I590" s="43"/>
      <c r="J590" s="43"/>
      <c r="K590" s="43"/>
      <c r="N590" s="31"/>
      <c r="O590" s="43"/>
    </row>
    <row r="591" spans="3:15" ht="12.5" x14ac:dyDescent="0.25">
      <c r="C591" s="31"/>
      <c r="I591" s="43"/>
      <c r="J591" s="43"/>
      <c r="K591" s="43"/>
      <c r="N591" s="31"/>
      <c r="O591" s="43"/>
    </row>
    <row r="592" spans="3:15" ht="12.5" x14ac:dyDescent="0.25">
      <c r="C592" s="31"/>
      <c r="I592" s="43"/>
      <c r="J592" s="43"/>
      <c r="K592" s="43"/>
      <c r="N592" s="31"/>
      <c r="O592" s="43"/>
    </row>
    <row r="593" spans="3:15" ht="12.5" x14ac:dyDescent="0.25">
      <c r="C593" s="31"/>
      <c r="I593" s="43"/>
      <c r="J593" s="43"/>
      <c r="K593" s="43"/>
      <c r="N593" s="31"/>
      <c r="O593" s="43"/>
    </row>
    <row r="594" spans="3:15" ht="12.5" x14ac:dyDescent="0.25">
      <c r="C594" s="31"/>
      <c r="I594" s="43"/>
      <c r="J594" s="43"/>
      <c r="K594" s="43"/>
      <c r="N594" s="31"/>
      <c r="O594" s="43"/>
    </row>
    <row r="595" spans="3:15" ht="12.5" x14ac:dyDescent="0.25">
      <c r="C595" s="31"/>
      <c r="I595" s="43"/>
      <c r="J595" s="43"/>
      <c r="K595" s="43"/>
      <c r="N595" s="31"/>
      <c r="O595" s="43"/>
    </row>
    <row r="596" spans="3:15" ht="12.5" x14ac:dyDescent="0.25">
      <c r="C596" s="31"/>
      <c r="I596" s="43"/>
      <c r="J596" s="43"/>
      <c r="K596" s="43"/>
      <c r="N596" s="31"/>
      <c r="O596" s="43"/>
    </row>
    <row r="597" spans="3:15" ht="12.5" x14ac:dyDescent="0.25">
      <c r="C597" s="31"/>
      <c r="I597" s="43"/>
      <c r="J597" s="43"/>
      <c r="K597" s="43"/>
      <c r="N597" s="31"/>
      <c r="O597" s="43"/>
    </row>
    <row r="598" spans="3:15" ht="12.5" x14ac:dyDescent="0.25">
      <c r="C598" s="31"/>
      <c r="I598" s="43"/>
      <c r="J598" s="43"/>
      <c r="K598" s="43"/>
      <c r="N598" s="31"/>
      <c r="O598" s="43"/>
    </row>
    <row r="599" spans="3:15" ht="12.5" x14ac:dyDescent="0.25">
      <c r="C599" s="31"/>
      <c r="I599" s="43"/>
      <c r="J599" s="43"/>
      <c r="K599" s="43"/>
      <c r="N599" s="31"/>
      <c r="O599" s="43"/>
    </row>
    <row r="600" spans="3:15" ht="12.5" x14ac:dyDescent="0.25">
      <c r="C600" s="31"/>
      <c r="I600" s="43"/>
      <c r="J600" s="43"/>
      <c r="K600" s="43"/>
      <c r="N600" s="31"/>
      <c r="O600" s="43"/>
    </row>
    <row r="601" spans="3:15" ht="12.5" x14ac:dyDescent="0.25">
      <c r="C601" s="31"/>
      <c r="I601" s="43"/>
      <c r="J601" s="43"/>
      <c r="K601" s="43"/>
      <c r="N601" s="31"/>
      <c r="O601" s="43"/>
    </row>
    <row r="602" spans="3:15" ht="12.5" x14ac:dyDescent="0.25">
      <c r="C602" s="31"/>
      <c r="I602" s="43"/>
      <c r="J602" s="43"/>
      <c r="K602" s="43"/>
      <c r="N602" s="31"/>
      <c r="O602" s="43"/>
    </row>
    <row r="603" spans="3:15" ht="12.5" x14ac:dyDescent="0.25">
      <c r="C603" s="31"/>
      <c r="I603" s="43"/>
      <c r="J603" s="43"/>
      <c r="K603" s="43"/>
      <c r="N603" s="31"/>
      <c r="O603" s="43"/>
    </row>
    <row r="604" spans="3:15" ht="12.5" x14ac:dyDescent="0.25">
      <c r="C604" s="31"/>
      <c r="I604" s="43"/>
      <c r="J604" s="43"/>
      <c r="K604" s="43"/>
      <c r="N604" s="31"/>
      <c r="O604" s="43"/>
    </row>
    <row r="605" spans="3:15" ht="12.5" x14ac:dyDescent="0.25">
      <c r="C605" s="31"/>
      <c r="I605" s="43"/>
      <c r="J605" s="43"/>
      <c r="K605" s="43"/>
      <c r="N605" s="31"/>
      <c r="O605" s="43"/>
    </row>
    <row r="606" spans="3:15" ht="12.5" x14ac:dyDescent="0.25">
      <c r="C606" s="31"/>
      <c r="I606" s="43"/>
      <c r="J606" s="43"/>
      <c r="K606" s="43"/>
      <c r="N606" s="31"/>
      <c r="O606" s="43"/>
    </row>
    <row r="607" spans="3:15" ht="12.5" x14ac:dyDescent="0.25">
      <c r="C607" s="31"/>
      <c r="I607" s="43"/>
      <c r="J607" s="43"/>
      <c r="K607" s="43"/>
      <c r="N607" s="31"/>
      <c r="O607" s="43"/>
    </row>
    <row r="608" spans="3:15" ht="12.5" x14ac:dyDescent="0.25">
      <c r="C608" s="31"/>
      <c r="I608" s="43"/>
      <c r="J608" s="43"/>
      <c r="K608" s="43"/>
      <c r="N608" s="31"/>
      <c r="O608" s="43"/>
    </row>
    <row r="609" spans="3:15" ht="12.5" x14ac:dyDescent="0.25">
      <c r="C609" s="31"/>
      <c r="I609" s="43"/>
      <c r="J609" s="43"/>
      <c r="K609" s="43"/>
      <c r="N609" s="31"/>
      <c r="O609" s="43"/>
    </row>
    <row r="610" spans="3:15" ht="12.5" x14ac:dyDescent="0.25">
      <c r="C610" s="31"/>
      <c r="I610" s="43"/>
      <c r="J610" s="43"/>
      <c r="K610" s="43"/>
      <c r="N610" s="31"/>
      <c r="O610" s="43"/>
    </row>
    <row r="611" spans="3:15" ht="12.5" x14ac:dyDescent="0.25">
      <c r="C611" s="31"/>
      <c r="I611" s="43"/>
      <c r="J611" s="43"/>
      <c r="K611" s="43"/>
      <c r="N611" s="31"/>
      <c r="O611" s="43"/>
    </row>
    <row r="612" spans="3:15" ht="12.5" x14ac:dyDescent="0.25">
      <c r="C612" s="31"/>
      <c r="I612" s="43"/>
      <c r="J612" s="43"/>
      <c r="K612" s="43"/>
      <c r="N612" s="31"/>
      <c r="O612" s="43"/>
    </row>
    <row r="613" spans="3:15" ht="12.5" x14ac:dyDescent="0.25">
      <c r="C613" s="31"/>
      <c r="I613" s="43"/>
      <c r="J613" s="43"/>
      <c r="K613" s="43"/>
      <c r="N613" s="31"/>
      <c r="O613" s="43"/>
    </row>
    <row r="614" spans="3:15" ht="12.5" x14ac:dyDescent="0.25">
      <c r="C614" s="31"/>
      <c r="I614" s="43"/>
      <c r="J614" s="43"/>
      <c r="K614" s="43"/>
      <c r="N614" s="31"/>
      <c r="O614" s="43"/>
    </row>
    <row r="615" spans="3:15" ht="12.5" x14ac:dyDescent="0.25">
      <c r="C615" s="31"/>
      <c r="I615" s="43"/>
      <c r="J615" s="43"/>
      <c r="K615" s="43"/>
      <c r="N615" s="31"/>
      <c r="O615" s="43"/>
    </row>
    <row r="616" spans="3:15" ht="12.5" x14ac:dyDescent="0.25">
      <c r="C616" s="31"/>
      <c r="I616" s="43"/>
      <c r="J616" s="43"/>
      <c r="K616" s="43"/>
      <c r="N616" s="31"/>
      <c r="O616" s="43"/>
    </row>
    <row r="617" spans="3:15" ht="12.5" x14ac:dyDescent="0.25">
      <c r="C617" s="31"/>
      <c r="I617" s="43"/>
      <c r="J617" s="43"/>
      <c r="K617" s="43"/>
      <c r="N617" s="31"/>
      <c r="O617" s="43"/>
    </row>
    <row r="618" spans="3:15" ht="12.5" x14ac:dyDescent="0.25">
      <c r="C618" s="31"/>
      <c r="I618" s="43"/>
      <c r="J618" s="43"/>
      <c r="K618" s="43"/>
      <c r="N618" s="31"/>
      <c r="O618" s="43"/>
    </row>
    <row r="619" spans="3:15" ht="12.5" x14ac:dyDescent="0.25">
      <c r="C619" s="31"/>
      <c r="I619" s="43"/>
      <c r="J619" s="43"/>
      <c r="K619" s="43"/>
      <c r="N619" s="31"/>
      <c r="O619" s="43"/>
    </row>
    <row r="620" spans="3:15" ht="12.5" x14ac:dyDescent="0.25">
      <c r="C620" s="31"/>
      <c r="I620" s="43"/>
      <c r="J620" s="43"/>
      <c r="K620" s="43"/>
      <c r="N620" s="31"/>
      <c r="O620" s="43"/>
    </row>
    <row r="621" spans="3:15" ht="12.5" x14ac:dyDescent="0.25">
      <c r="C621" s="31"/>
      <c r="I621" s="43"/>
      <c r="J621" s="43"/>
      <c r="K621" s="43"/>
      <c r="N621" s="31"/>
      <c r="O621" s="43"/>
    </row>
    <row r="622" spans="3:15" ht="12.5" x14ac:dyDescent="0.25">
      <c r="C622" s="31"/>
      <c r="I622" s="43"/>
      <c r="J622" s="43"/>
      <c r="K622" s="43"/>
      <c r="N622" s="31"/>
      <c r="O622" s="43"/>
    </row>
    <row r="623" spans="3:15" ht="12.5" x14ac:dyDescent="0.25">
      <c r="C623" s="31"/>
      <c r="I623" s="43"/>
      <c r="J623" s="43"/>
      <c r="K623" s="43"/>
      <c r="N623" s="31"/>
      <c r="O623" s="43"/>
    </row>
    <row r="624" spans="3:15" ht="12.5" x14ac:dyDescent="0.25">
      <c r="C624" s="31"/>
      <c r="I624" s="43"/>
      <c r="J624" s="43"/>
      <c r="K624" s="43"/>
      <c r="N624" s="31"/>
      <c r="O624" s="43"/>
    </row>
    <row r="625" spans="3:15" ht="12.5" x14ac:dyDescent="0.25">
      <c r="C625" s="31"/>
      <c r="I625" s="43"/>
      <c r="J625" s="43"/>
      <c r="K625" s="43"/>
      <c r="N625" s="31"/>
      <c r="O625" s="43"/>
    </row>
    <row r="626" spans="3:15" ht="12.5" x14ac:dyDescent="0.25">
      <c r="C626" s="31"/>
      <c r="I626" s="43"/>
      <c r="J626" s="43"/>
      <c r="K626" s="43"/>
      <c r="N626" s="31"/>
      <c r="O626" s="43"/>
    </row>
    <row r="627" spans="3:15" ht="12.5" x14ac:dyDescent="0.25">
      <c r="C627" s="31"/>
      <c r="I627" s="43"/>
      <c r="J627" s="43"/>
      <c r="K627" s="43"/>
      <c r="N627" s="31"/>
      <c r="O627" s="43"/>
    </row>
    <row r="628" spans="3:15" ht="12.5" x14ac:dyDescent="0.25">
      <c r="C628" s="31"/>
      <c r="I628" s="43"/>
      <c r="J628" s="43"/>
      <c r="K628" s="43"/>
      <c r="N628" s="31"/>
      <c r="O628" s="43"/>
    </row>
    <row r="629" spans="3:15" ht="12.5" x14ac:dyDescent="0.25">
      <c r="C629" s="31"/>
      <c r="I629" s="43"/>
      <c r="J629" s="43"/>
      <c r="K629" s="43"/>
      <c r="N629" s="31"/>
      <c r="O629" s="43"/>
    </row>
    <row r="630" spans="3:15" ht="12.5" x14ac:dyDescent="0.25">
      <c r="C630" s="31"/>
      <c r="I630" s="43"/>
      <c r="J630" s="43"/>
      <c r="K630" s="43"/>
      <c r="N630" s="31"/>
      <c r="O630" s="43"/>
    </row>
    <row r="631" spans="3:15" ht="12.5" x14ac:dyDescent="0.25">
      <c r="C631" s="31"/>
      <c r="I631" s="43"/>
      <c r="J631" s="43"/>
      <c r="K631" s="43"/>
      <c r="N631" s="31"/>
      <c r="O631" s="43"/>
    </row>
    <row r="632" spans="3:15" ht="12.5" x14ac:dyDescent="0.25">
      <c r="C632" s="31"/>
      <c r="I632" s="43"/>
      <c r="J632" s="43"/>
      <c r="K632" s="43"/>
      <c r="N632" s="31"/>
      <c r="O632" s="43"/>
    </row>
    <row r="633" spans="3:15" ht="12.5" x14ac:dyDescent="0.25">
      <c r="C633" s="31"/>
      <c r="I633" s="43"/>
      <c r="J633" s="43"/>
      <c r="K633" s="43"/>
      <c r="N633" s="31"/>
      <c r="O633" s="43"/>
    </row>
    <row r="634" spans="3:15" ht="12.5" x14ac:dyDescent="0.25">
      <c r="C634" s="31"/>
      <c r="I634" s="43"/>
      <c r="J634" s="43"/>
      <c r="K634" s="43"/>
      <c r="N634" s="31"/>
      <c r="O634" s="43"/>
    </row>
    <row r="635" spans="3:15" ht="12.5" x14ac:dyDescent="0.25">
      <c r="C635" s="31"/>
      <c r="I635" s="43"/>
      <c r="J635" s="43"/>
      <c r="K635" s="43"/>
      <c r="N635" s="31"/>
      <c r="O635" s="43"/>
    </row>
    <row r="636" spans="3:15" ht="12.5" x14ac:dyDescent="0.25">
      <c r="C636" s="31"/>
      <c r="I636" s="43"/>
      <c r="J636" s="43"/>
      <c r="K636" s="43"/>
      <c r="N636" s="31"/>
      <c r="O636" s="43"/>
    </row>
    <row r="637" spans="3:15" ht="12.5" x14ac:dyDescent="0.25">
      <c r="C637" s="31"/>
      <c r="I637" s="43"/>
      <c r="J637" s="43"/>
      <c r="K637" s="43"/>
      <c r="N637" s="31"/>
      <c r="O637" s="43"/>
    </row>
    <row r="638" spans="3:15" ht="12.5" x14ac:dyDescent="0.25">
      <c r="C638" s="31"/>
      <c r="I638" s="43"/>
      <c r="J638" s="43"/>
      <c r="K638" s="43"/>
      <c r="N638" s="31"/>
      <c r="O638" s="43"/>
    </row>
    <row r="639" spans="3:15" ht="12.5" x14ac:dyDescent="0.25">
      <c r="C639" s="31"/>
      <c r="I639" s="43"/>
      <c r="J639" s="43"/>
      <c r="K639" s="43"/>
      <c r="N639" s="31"/>
      <c r="O639" s="43"/>
    </row>
    <row r="640" spans="3:15" ht="12.5" x14ac:dyDescent="0.25">
      <c r="C640" s="31"/>
      <c r="I640" s="43"/>
      <c r="J640" s="43"/>
      <c r="K640" s="43"/>
      <c r="N640" s="31"/>
      <c r="O640" s="43"/>
    </row>
    <row r="641" spans="3:15" ht="12.5" x14ac:dyDescent="0.25">
      <c r="C641" s="31"/>
      <c r="I641" s="43"/>
      <c r="J641" s="43"/>
      <c r="K641" s="43"/>
      <c r="N641" s="31"/>
      <c r="O641" s="43"/>
    </row>
    <row r="642" spans="3:15" ht="12.5" x14ac:dyDescent="0.25">
      <c r="C642" s="31"/>
      <c r="I642" s="43"/>
      <c r="J642" s="43"/>
      <c r="K642" s="43"/>
      <c r="N642" s="31"/>
      <c r="O642" s="43"/>
    </row>
    <row r="643" spans="3:15" ht="12.5" x14ac:dyDescent="0.25">
      <c r="C643" s="31"/>
      <c r="I643" s="43"/>
      <c r="J643" s="43"/>
      <c r="K643" s="43"/>
      <c r="N643" s="31"/>
      <c r="O643" s="43"/>
    </row>
    <row r="644" spans="3:15" ht="12.5" x14ac:dyDescent="0.25">
      <c r="C644" s="31"/>
      <c r="I644" s="43"/>
      <c r="J644" s="43"/>
      <c r="K644" s="43"/>
      <c r="N644" s="31"/>
      <c r="O644" s="43"/>
    </row>
    <row r="645" spans="3:15" ht="12.5" x14ac:dyDescent="0.25">
      <c r="C645" s="31"/>
      <c r="I645" s="43"/>
      <c r="J645" s="43"/>
      <c r="K645" s="43"/>
      <c r="N645" s="31"/>
      <c r="O645" s="43"/>
    </row>
    <row r="646" spans="3:15" ht="12.5" x14ac:dyDescent="0.25">
      <c r="C646" s="31"/>
      <c r="I646" s="43"/>
      <c r="J646" s="43"/>
      <c r="K646" s="43"/>
      <c r="N646" s="31"/>
      <c r="O646" s="43"/>
    </row>
    <row r="647" spans="3:15" ht="12.5" x14ac:dyDescent="0.25">
      <c r="C647" s="31"/>
      <c r="I647" s="43"/>
      <c r="J647" s="43"/>
      <c r="K647" s="43"/>
      <c r="N647" s="31"/>
      <c r="O647" s="43"/>
    </row>
    <row r="648" spans="3:15" ht="12.5" x14ac:dyDescent="0.25">
      <c r="C648" s="31"/>
      <c r="I648" s="43"/>
      <c r="J648" s="43"/>
      <c r="K648" s="43"/>
      <c r="N648" s="31"/>
      <c r="O648" s="43"/>
    </row>
    <row r="649" spans="3:15" ht="12.5" x14ac:dyDescent="0.25">
      <c r="C649" s="31"/>
      <c r="I649" s="43"/>
      <c r="J649" s="43"/>
      <c r="K649" s="43"/>
      <c r="N649" s="31"/>
      <c r="O649" s="43"/>
    </row>
    <row r="650" spans="3:15" ht="12.5" x14ac:dyDescent="0.25">
      <c r="C650" s="31"/>
      <c r="I650" s="43"/>
      <c r="J650" s="43"/>
      <c r="K650" s="43"/>
      <c r="N650" s="31"/>
      <c r="O650" s="43"/>
    </row>
    <row r="651" spans="3:15" ht="12.5" x14ac:dyDescent="0.25">
      <c r="C651" s="31"/>
      <c r="I651" s="43"/>
      <c r="J651" s="43"/>
      <c r="K651" s="43"/>
      <c r="N651" s="31"/>
      <c r="O651" s="43"/>
    </row>
    <row r="652" spans="3:15" ht="12.5" x14ac:dyDescent="0.25">
      <c r="C652" s="31"/>
      <c r="I652" s="43"/>
      <c r="J652" s="43"/>
      <c r="K652" s="43"/>
      <c r="N652" s="31"/>
      <c r="O652" s="43"/>
    </row>
    <row r="653" spans="3:15" ht="12.5" x14ac:dyDescent="0.25">
      <c r="C653" s="31"/>
      <c r="I653" s="43"/>
      <c r="J653" s="43"/>
      <c r="K653" s="43"/>
      <c r="N653" s="31"/>
      <c r="O653" s="43"/>
    </row>
    <row r="654" spans="3:15" ht="12.5" x14ac:dyDescent="0.25">
      <c r="C654" s="31"/>
      <c r="I654" s="43"/>
      <c r="J654" s="43"/>
      <c r="K654" s="43"/>
      <c r="N654" s="31"/>
      <c r="O654" s="43"/>
    </row>
    <row r="655" spans="3:15" ht="12.5" x14ac:dyDescent="0.25">
      <c r="C655" s="31"/>
      <c r="I655" s="43"/>
      <c r="J655" s="43"/>
      <c r="K655" s="43"/>
      <c r="N655" s="31"/>
      <c r="O655" s="43"/>
    </row>
    <row r="656" spans="3:15" ht="12.5" x14ac:dyDescent="0.25">
      <c r="C656" s="31"/>
      <c r="I656" s="43"/>
      <c r="J656" s="43"/>
      <c r="K656" s="43"/>
      <c r="N656" s="31"/>
      <c r="O656" s="43"/>
    </row>
    <row r="657" spans="3:15" ht="12.5" x14ac:dyDescent="0.25">
      <c r="C657" s="31"/>
      <c r="I657" s="43"/>
      <c r="J657" s="43"/>
      <c r="K657" s="43"/>
      <c r="N657" s="31"/>
      <c r="O657" s="43"/>
    </row>
    <row r="658" spans="3:15" ht="12.5" x14ac:dyDescent="0.25">
      <c r="C658" s="31"/>
      <c r="I658" s="43"/>
      <c r="J658" s="43"/>
      <c r="K658" s="43"/>
      <c r="N658" s="31"/>
      <c r="O658" s="43"/>
    </row>
    <row r="659" spans="3:15" ht="12.5" x14ac:dyDescent="0.25">
      <c r="C659" s="31"/>
      <c r="I659" s="43"/>
      <c r="J659" s="43"/>
      <c r="K659" s="43"/>
      <c r="N659" s="31"/>
      <c r="O659" s="43"/>
    </row>
    <row r="660" spans="3:15" ht="12.5" x14ac:dyDescent="0.25">
      <c r="C660" s="31"/>
      <c r="I660" s="43"/>
      <c r="J660" s="43"/>
      <c r="K660" s="43"/>
      <c r="N660" s="31"/>
      <c r="O660" s="43"/>
    </row>
    <row r="661" spans="3:15" ht="12.5" x14ac:dyDescent="0.25">
      <c r="C661" s="31"/>
      <c r="I661" s="43"/>
      <c r="J661" s="43"/>
      <c r="K661" s="43"/>
      <c r="N661" s="31"/>
      <c r="O661" s="43"/>
    </row>
    <row r="662" spans="3:15" ht="12.5" x14ac:dyDescent="0.25">
      <c r="C662" s="31"/>
      <c r="I662" s="43"/>
      <c r="J662" s="43"/>
      <c r="K662" s="43"/>
      <c r="N662" s="31"/>
      <c r="O662" s="43"/>
    </row>
    <row r="663" spans="3:15" ht="12.5" x14ac:dyDescent="0.25">
      <c r="C663" s="31"/>
      <c r="I663" s="43"/>
      <c r="J663" s="43"/>
      <c r="K663" s="43"/>
      <c r="N663" s="31"/>
      <c r="O663" s="43"/>
    </row>
    <row r="664" spans="3:15" ht="12.5" x14ac:dyDescent="0.25">
      <c r="C664" s="31"/>
      <c r="I664" s="43"/>
      <c r="J664" s="43"/>
      <c r="K664" s="43"/>
      <c r="N664" s="31"/>
      <c r="O664" s="43"/>
    </row>
    <row r="665" spans="3:15" ht="12.5" x14ac:dyDescent="0.25">
      <c r="C665" s="31"/>
      <c r="I665" s="43"/>
      <c r="J665" s="43"/>
      <c r="K665" s="43"/>
      <c r="N665" s="31"/>
      <c r="O665" s="43"/>
    </row>
    <row r="666" spans="3:15" ht="12.5" x14ac:dyDescent="0.25">
      <c r="C666" s="31"/>
      <c r="I666" s="43"/>
      <c r="J666" s="43"/>
      <c r="K666" s="43"/>
      <c r="N666" s="31"/>
      <c r="O666" s="43"/>
    </row>
    <row r="667" spans="3:15" ht="12.5" x14ac:dyDescent="0.25">
      <c r="C667" s="31"/>
      <c r="I667" s="43"/>
      <c r="J667" s="43"/>
      <c r="K667" s="43"/>
      <c r="N667" s="31"/>
      <c r="O667" s="43"/>
    </row>
    <row r="668" spans="3:15" ht="12.5" x14ac:dyDescent="0.25">
      <c r="C668" s="31"/>
      <c r="I668" s="43"/>
      <c r="J668" s="43"/>
      <c r="K668" s="43"/>
      <c r="N668" s="31"/>
      <c r="O668" s="43"/>
    </row>
    <row r="669" spans="3:15" ht="12.5" x14ac:dyDescent="0.25">
      <c r="C669" s="31"/>
      <c r="I669" s="43"/>
      <c r="J669" s="43"/>
      <c r="K669" s="43"/>
      <c r="N669" s="31"/>
      <c r="O669" s="43"/>
    </row>
    <row r="670" spans="3:15" ht="12.5" x14ac:dyDescent="0.25">
      <c r="C670" s="31"/>
      <c r="I670" s="43"/>
      <c r="J670" s="43"/>
      <c r="K670" s="43"/>
      <c r="N670" s="31"/>
      <c r="O670" s="43"/>
    </row>
    <row r="671" spans="3:15" ht="12.5" x14ac:dyDescent="0.25">
      <c r="C671" s="31"/>
      <c r="I671" s="43"/>
      <c r="J671" s="43"/>
      <c r="K671" s="43"/>
      <c r="N671" s="31"/>
      <c r="O671" s="43"/>
    </row>
    <row r="672" spans="3:15" ht="12.5" x14ac:dyDescent="0.25">
      <c r="C672" s="31"/>
      <c r="I672" s="43"/>
      <c r="J672" s="43"/>
      <c r="K672" s="43"/>
      <c r="N672" s="31"/>
      <c r="O672" s="43"/>
    </row>
    <row r="673" spans="3:15" ht="12.5" x14ac:dyDescent="0.25">
      <c r="C673" s="31"/>
      <c r="I673" s="43"/>
      <c r="J673" s="43"/>
      <c r="K673" s="43"/>
      <c r="N673" s="31"/>
      <c r="O673" s="43"/>
    </row>
    <row r="674" spans="3:15" ht="12.5" x14ac:dyDescent="0.25">
      <c r="C674" s="31"/>
      <c r="I674" s="43"/>
      <c r="J674" s="43"/>
      <c r="K674" s="43"/>
      <c r="N674" s="31"/>
      <c r="O674" s="43"/>
    </row>
    <row r="675" spans="3:15" ht="12.5" x14ac:dyDescent="0.25">
      <c r="C675" s="31"/>
      <c r="I675" s="43"/>
      <c r="J675" s="43"/>
      <c r="K675" s="43"/>
      <c r="N675" s="31"/>
      <c r="O675" s="43"/>
    </row>
    <row r="676" spans="3:15" ht="12.5" x14ac:dyDescent="0.25">
      <c r="C676" s="31"/>
      <c r="I676" s="43"/>
      <c r="J676" s="43"/>
      <c r="K676" s="43"/>
      <c r="N676" s="31"/>
      <c r="O676" s="43"/>
    </row>
    <row r="677" spans="3:15" ht="12.5" x14ac:dyDescent="0.25">
      <c r="C677" s="31"/>
      <c r="I677" s="43"/>
      <c r="J677" s="43"/>
      <c r="K677" s="43"/>
      <c r="N677" s="31"/>
      <c r="O677" s="43"/>
    </row>
    <row r="678" spans="3:15" ht="12.5" x14ac:dyDescent="0.25">
      <c r="C678" s="31"/>
      <c r="I678" s="43"/>
      <c r="J678" s="43"/>
      <c r="K678" s="43"/>
      <c r="N678" s="31"/>
      <c r="O678" s="43"/>
    </row>
    <row r="679" spans="3:15" ht="12.5" x14ac:dyDescent="0.25">
      <c r="C679" s="31"/>
      <c r="I679" s="43"/>
      <c r="J679" s="43"/>
      <c r="K679" s="43"/>
      <c r="N679" s="31"/>
      <c r="O679" s="43"/>
    </row>
    <row r="680" spans="3:15" ht="12.5" x14ac:dyDescent="0.25">
      <c r="C680" s="31"/>
      <c r="I680" s="43"/>
      <c r="J680" s="43"/>
      <c r="K680" s="43"/>
      <c r="N680" s="31"/>
      <c r="O680" s="43"/>
    </row>
    <row r="681" spans="3:15" ht="12.5" x14ac:dyDescent="0.25">
      <c r="C681" s="31"/>
      <c r="I681" s="43"/>
      <c r="J681" s="43"/>
      <c r="K681" s="43"/>
      <c r="N681" s="31"/>
      <c r="O681" s="43"/>
    </row>
    <row r="682" spans="3:15" ht="12.5" x14ac:dyDescent="0.25">
      <c r="C682" s="31"/>
      <c r="I682" s="43"/>
      <c r="J682" s="43"/>
      <c r="K682" s="43"/>
      <c r="N682" s="31"/>
      <c r="O682" s="43"/>
    </row>
    <row r="683" spans="3:15" ht="12.5" x14ac:dyDescent="0.25">
      <c r="C683" s="31"/>
      <c r="I683" s="43"/>
      <c r="J683" s="43"/>
      <c r="K683" s="43"/>
      <c r="N683" s="31"/>
      <c r="O683" s="43"/>
    </row>
    <row r="684" spans="3:15" ht="12.5" x14ac:dyDescent="0.25">
      <c r="C684" s="31"/>
      <c r="I684" s="43"/>
      <c r="J684" s="43"/>
      <c r="K684" s="43"/>
      <c r="N684" s="31"/>
      <c r="O684" s="43"/>
    </row>
    <row r="685" spans="3:15" ht="12.5" x14ac:dyDescent="0.25">
      <c r="C685" s="31"/>
      <c r="I685" s="43"/>
      <c r="J685" s="43"/>
      <c r="K685" s="43"/>
      <c r="N685" s="31"/>
      <c r="O685" s="43"/>
    </row>
    <row r="686" spans="3:15" ht="12.5" x14ac:dyDescent="0.25">
      <c r="C686" s="31"/>
      <c r="I686" s="43"/>
      <c r="J686" s="43"/>
      <c r="K686" s="43"/>
      <c r="N686" s="31"/>
      <c r="O686" s="43"/>
    </row>
    <row r="687" spans="3:15" ht="12.5" x14ac:dyDescent="0.25">
      <c r="C687" s="31"/>
      <c r="I687" s="43"/>
      <c r="J687" s="43"/>
      <c r="K687" s="43"/>
      <c r="N687" s="31"/>
      <c r="O687" s="43"/>
    </row>
    <row r="688" spans="3:15" ht="12.5" x14ac:dyDescent="0.25">
      <c r="C688" s="31"/>
      <c r="I688" s="43"/>
      <c r="J688" s="43"/>
      <c r="K688" s="43"/>
      <c r="N688" s="31"/>
      <c r="O688" s="43"/>
    </row>
    <row r="689" spans="3:15" ht="12.5" x14ac:dyDescent="0.25">
      <c r="C689" s="31"/>
      <c r="I689" s="43"/>
      <c r="J689" s="43"/>
      <c r="K689" s="43"/>
      <c r="N689" s="31"/>
      <c r="O689" s="43"/>
    </row>
    <row r="690" spans="3:15" ht="12.5" x14ac:dyDescent="0.25">
      <c r="C690" s="31"/>
      <c r="I690" s="43"/>
      <c r="J690" s="43"/>
      <c r="K690" s="43"/>
      <c r="N690" s="31"/>
      <c r="O690" s="43"/>
    </row>
    <row r="691" spans="3:15" ht="12.5" x14ac:dyDescent="0.25">
      <c r="C691" s="31"/>
      <c r="I691" s="43"/>
      <c r="J691" s="43"/>
      <c r="K691" s="43"/>
      <c r="N691" s="31"/>
      <c r="O691" s="43"/>
    </row>
    <row r="692" spans="3:15" ht="12.5" x14ac:dyDescent="0.25">
      <c r="C692" s="31"/>
      <c r="I692" s="43"/>
      <c r="J692" s="43"/>
      <c r="K692" s="43"/>
      <c r="N692" s="31"/>
      <c r="O692" s="43"/>
    </row>
    <row r="693" spans="3:15" ht="12.5" x14ac:dyDescent="0.25">
      <c r="C693" s="31"/>
      <c r="I693" s="43"/>
      <c r="J693" s="43"/>
      <c r="K693" s="43"/>
      <c r="N693" s="31"/>
      <c r="O693" s="43"/>
    </row>
    <row r="694" spans="3:15" ht="12.5" x14ac:dyDescent="0.25">
      <c r="C694" s="31"/>
      <c r="I694" s="43"/>
      <c r="J694" s="43"/>
      <c r="K694" s="43"/>
      <c r="N694" s="31"/>
      <c r="O694" s="43"/>
    </row>
    <row r="695" spans="3:15" ht="12.5" x14ac:dyDescent="0.25">
      <c r="C695" s="31"/>
      <c r="I695" s="43"/>
      <c r="J695" s="43"/>
      <c r="K695" s="43"/>
      <c r="N695" s="31"/>
      <c r="O695" s="43"/>
    </row>
    <row r="696" spans="3:15" ht="12.5" x14ac:dyDescent="0.25">
      <c r="C696" s="31"/>
      <c r="I696" s="43"/>
      <c r="J696" s="43"/>
      <c r="K696" s="43"/>
      <c r="N696" s="31"/>
      <c r="O696" s="43"/>
    </row>
    <row r="697" spans="3:15" ht="12.5" x14ac:dyDescent="0.25">
      <c r="C697" s="31"/>
      <c r="I697" s="43"/>
      <c r="J697" s="43"/>
      <c r="K697" s="43"/>
      <c r="N697" s="31"/>
      <c r="O697" s="43"/>
    </row>
    <row r="698" spans="3:15" ht="12.5" x14ac:dyDescent="0.25">
      <c r="C698" s="31"/>
      <c r="I698" s="43"/>
      <c r="J698" s="43"/>
      <c r="K698" s="43"/>
      <c r="N698" s="31"/>
      <c r="O698" s="43"/>
    </row>
    <row r="699" spans="3:15" ht="12.5" x14ac:dyDescent="0.25">
      <c r="C699" s="31"/>
      <c r="I699" s="43"/>
      <c r="J699" s="43"/>
      <c r="K699" s="43"/>
      <c r="N699" s="31"/>
      <c r="O699" s="43"/>
    </row>
    <row r="700" spans="3:15" ht="12.5" x14ac:dyDescent="0.25">
      <c r="C700" s="31"/>
      <c r="I700" s="43"/>
      <c r="J700" s="43"/>
      <c r="K700" s="43"/>
      <c r="N700" s="31"/>
      <c r="O700" s="43"/>
    </row>
    <row r="701" spans="3:15" ht="12.5" x14ac:dyDescent="0.25">
      <c r="C701" s="31"/>
      <c r="I701" s="43"/>
      <c r="J701" s="43"/>
      <c r="K701" s="43"/>
      <c r="N701" s="31"/>
      <c r="O701" s="43"/>
    </row>
    <row r="702" spans="3:15" ht="12.5" x14ac:dyDescent="0.25">
      <c r="C702" s="31"/>
      <c r="I702" s="43"/>
      <c r="J702" s="43"/>
      <c r="K702" s="43"/>
      <c r="N702" s="31"/>
      <c r="O702" s="43"/>
    </row>
    <row r="703" spans="3:15" ht="12.5" x14ac:dyDescent="0.25">
      <c r="C703" s="31"/>
      <c r="I703" s="43"/>
      <c r="J703" s="43"/>
      <c r="K703" s="43"/>
      <c r="N703" s="31"/>
      <c r="O703" s="43"/>
    </row>
    <row r="704" spans="3:15" ht="12.5" x14ac:dyDescent="0.25">
      <c r="C704" s="31"/>
      <c r="I704" s="43"/>
      <c r="J704" s="43"/>
      <c r="K704" s="43"/>
      <c r="N704" s="31"/>
      <c r="O704" s="43"/>
    </row>
    <row r="705" spans="3:15" ht="12.5" x14ac:dyDescent="0.25">
      <c r="C705" s="31"/>
      <c r="I705" s="43"/>
      <c r="J705" s="43"/>
      <c r="K705" s="43"/>
      <c r="N705" s="31"/>
      <c r="O705" s="43"/>
    </row>
    <row r="706" spans="3:15" ht="12.5" x14ac:dyDescent="0.25">
      <c r="C706" s="31"/>
      <c r="I706" s="43"/>
      <c r="J706" s="43"/>
      <c r="K706" s="43"/>
      <c r="N706" s="31"/>
      <c r="O706" s="43"/>
    </row>
    <row r="707" spans="3:15" ht="12.5" x14ac:dyDescent="0.25">
      <c r="C707" s="31"/>
      <c r="I707" s="43"/>
      <c r="J707" s="43"/>
      <c r="K707" s="43"/>
      <c r="N707" s="31"/>
      <c r="O707" s="43"/>
    </row>
    <row r="708" spans="3:15" ht="12.5" x14ac:dyDescent="0.25">
      <c r="C708" s="31"/>
      <c r="I708" s="43"/>
      <c r="J708" s="43"/>
      <c r="K708" s="43"/>
      <c r="N708" s="31"/>
      <c r="O708" s="43"/>
    </row>
    <row r="709" spans="3:15" ht="12.5" x14ac:dyDescent="0.25">
      <c r="C709" s="31"/>
      <c r="I709" s="43"/>
      <c r="J709" s="43"/>
      <c r="K709" s="43"/>
      <c r="N709" s="31"/>
      <c r="O709" s="43"/>
    </row>
    <row r="710" spans="3:15" ht="12.5" x14ac:dyDescent="0.25">
      <c r="C710" s="31"/>
      <c r="I710" s="43"/>
      <c r="J710" s="43"/>
      <c r="K710" s="43"/>
      <c r="N710" s="31"/>
      <c r="O710" s="43"/>
    </row>
    <row r="711" spans="3:15" ht="12.5" x14ac:dyDescent="0.25">
      <c r="C711" s="31"/>
      <c r="I711" s="43"/>
      <c r="J711" s="43"/>
      <c r="K711" s="43"/>
      <c r="N711" s="31"/>
      <c r="O711" s="43"/>
    </row>
    <row r="712" spans="3:15" ht="12.5" x14ac:dyDescent="0.25">
      <c r="C712" s="31"/>
      <c r="I712" s="43"/>
      <c r="J712" s="43"/>
      <c r="K712" s="43"/>
      <c r="N712" s="31"/>
      <c r="O712" s="43"/>
    </row>
    <row r="713" spans="3:15" ht="12.5" x14ac:dyDescent="0.25">
      <c r="C713" s="31"/>
      <c r="I713" s="43"/>
      <c r="J713" s="43"/>
      <c r="K713" s="43"/>
      <c r="N713" s="31"/>
      <c r="O713" s="43"/>
    </row>
    <row r="714" spans="3:15" ht="12.5" x14ac:dyDescent="0.25">
      <c r="C714" s="31"/>
      <c r="I714" s="43"/>
      <c r="J714" s="43"/>
      <c r="K714" s="43"/>
      <c r="N714" s="31"/>
      <c r="O714" s="43"/>
    </row>
    <row r="715" spans="3:15" ht="12.5" x14ac:dyDescent="0.25">
      <c r="C715" s="31"/>
      <c r="I715" s="43"/>
      <c r="J715" s="43"/>
      <c r="K715" s="43"/>
      <c r="N715" s="31"/>
      <c r="O715" s="43"/>
    </row>
    <row r="716" spans="3:15" ht="12.5" x14ac:dyDescent="0.25">
      <c r="C716" s="31"/>
      <c r="I716" s="43"/>
      <c r="J716" s="43"/>
      <c r="K716" s="43"/>
      <c r="N716" s="31"/>
      <c r="O716" s="43"/>
    </row>
    <row r="717" spans="3:15" ht="12.5" x14ac:dyDescent="0.25">
      <c r="C717" s="31"/>
      <c r="I717" s="43"/>
      <c r="J717" s="43"/>
      <c r="K717" s="43"/>
      <c r="N717" s="31"/>
      <c r="O717" s="43"/>
    </row>
    <row r="718" spans="3:15" ht="12.5" x14ac:dyDescent="0.25">
      <c r="C718" s="31"/>
      <c r="I718" s="43"/>
      <c r="J718" s="43"/>
      <c r="K718" s="43"/>
      <c r="N718" s="31"/>
      <c r="O718" s="43"/>
    </row>
    <row r="719" spans="3:15" ht="12.5" x14ac:dyDescent="0.25">
      <c r="C719" s="31"/>
      <c r="I719" s="43"/>
      <c r="J719" s="43"/>
      <c r="K719" s="43"/>
      <c r="N719" s="31"/>
      <c r="O719" s="43"/>
    </row>
    <row r="720" spans="3:15" ht="12.5" x14ac:dyDescent="0.25">
      <c r="C720" s="31"/>
      <c r="I720" s="43"/>
      <c r="J720" s="43"/>
      <c r="K720" s="43"/>
      <c r="N720" s="31"/>
      <c r="O720" s="43"/>
    </row>
    <row r="721" spans="3:15" ht="12.5" x14ac:dyDescent="0.25">
      <c r="C721" s="31"/>
      <c r="I721" s="43"/>
      <c r="J721" s="43"/>
      <c r="K721" s="43"/>
      <c r="N721" s="31"/>
      <c r="O721" s="43"/>
    </row>
    <row r="722" spans="3:15" ht="12.5" x14ac:dyDescent="0.25">
      <c r="C722" s="31"/>
      <c r="I722" s="43"/>
      <c r="J722" s="43"/>
      <c r="K722" s="43"/>
      <c r="N722" s="31"/>
      <c r="O722" s="43"/>
    </row>
    <row r="723" spans="3:15" ht="12.5" x14ac:dyDescent="0.25">
      <c r="C723" s="31"/>
      <c r="I723" s="43"/>
      <c r="J723" s="43"/>
      <c r="K723" s="43"/>
      <c r="N723" s="31"/>
      <c r="O723" s="43"/>
    </row>
    <row r="724" spans="3:15" ht="12.5" x14ac:dyDescent="0.25">
      <c r="C724" s="31"/>
      <c r="I724" s="43"/>
      <c r="J724" s="43"/>
      <c r="K724" s="43"/>
      <c r="N724" s="31"/>
      <c r="O724" s="43"/>
    </row>
    <row r="725" spans="3:15" ht="12.5" x14ac:dyDescent="0.25">
      <c r="C725" s="31"/>
      <c r="I725" s="43"/>
      <c r="J725" s="43"/>
      <c r="K725" s="43"/>
      <c r="N725" s="31"/>
      <c r="O725" s="43"/>
    </row>
    <row r="726" spans="3:15" ht="12.5" x14ac:dyDescent="0.25">
      <c r="C726" s="31"/>
      <c r="I726" s="43"/>
      <c r="J726" s="43"/>
      <c r="K726" s="43"/>
      <c r="N726" s="31"/>
      <c r="O726" s="43"/>
    </row>
    <row r="727" spans="3:15" ht="12.5" x14ac:dyDescent="0.25">
      <c r="C727" s="31"/>
      <c r="I727" s="43"/>
      <c r="J727" s="43"/>
      <c r="K727" s="43"/>
      <c r="N727" s="31"/>
      <c r="O727" s="43"/>
    </row>
    <row r="728" spans="3:15" ht="12.5" x14ac:dyDescent="0.25">
      <c r="C728" s="31"/>
      <c r="I728" s="43"/>
      <c r="J728" s="43"/>
      <c r="K728" s="43"/>
      <c r="N728" s="31"/>
      <c r="O728" s="43"/>
    </row>
    <row r="729" spans="3:15" ht="12.5" x14ac:dyDescent="0.25">
      <c r="C729" s="31"/>
      <c r="I729" s="43"/>
      <c r="J729" s="43"/>
      <c r="K729" s="43"/>
      <c r="N729" s="31"/>
      <c r="O729" s="43"/>
    </row>
    <row r="730" spans="3:15" ht="12.5" x14ac:dyDescent="0.25">
      <c r="C730" s="31"/>
      <c r="I730" s="43"/>
      <c r="J730" s="43"/>
      <c r="K730" s="43"/>
      <c r="N730" s="31"/>
      <c r="O730" s="43"/>
    </row>
    <row r="731" spans="3:15" ht="12.5" x14ac:dyDescent="0.25">
      <c r="C731" s="31"/>
      <c r="I731" s="43"/>
      <c r="J731" s="43"/>
      <c r="K731" s="43"/>
      <c r="N731" s="31"/>
      <c r="O731" s="43"/>
    </row>
    <row r="732" spans="3:15" ht="12.5" x14ac:dyDescent="0.25">
      <c r="C732" s="31"/>
      <c r="I732" s="43"/>
      <c r="J732" s="43"/>
      <c r="K732" s="43"/>
      <c r="N732" s="31"/>
      <c r="O732" s="43"/>
    </row>
    <row r="733" spans="3:15" ht="12.5" x14ac:dyDescent="0.25">
      <c r="C733" s="31"/>
      <c r="I733" s="43"/>
      <c r="J733" s="43"/>
      <c r="K733" s="43"/>
      <c r="N733" s="31"/>
      <c r="O733" s="43"/>
    </row>
    <row r="734" spans="3:15" ht="12.5" x14ac:dyDescent="0.25">
      <c r="C734" s="31"/>
      <c r="I734" s="43"/>
      <c r="J734" s="43"/>
      <c r="K734" s="43"/>
      <c r="N734" s="31"/>
      <c r="O734" s="43"/>
    </row>
    <row r="735" spans="3:15" ht="12.5" x14ac:dyDescent="0.25">
      <c r="C735" s="31"/>
      <c r="I735" s="43"/>
      <c r="J735" s="43"/>
      <c r="K735" s="43"/>
      <c r="N735" s="31"/>
      <c r="O735" s="43"/>
    </row>
    <row r="736" spans="3:15" ht="12.5" x14ac:dyDescent="0.25">
      <c r="C736" s="31"/>
      <c r="I736" s="43"/>
      <c r="J736" s="43"/>
      <c r="K736" s="43"/>
      <c r="N736" s="31"/>
      <c r="O736" s="43"/>
    </row>
    <row r="737" spans="3:15" ht="12.5" x14ac:dyDescent="0.25">
      <c r="C737" s="31"/>
      <c r="I737" s="43"/>
      <c r="J737" s="43"/>
      <c r="K737" s="43"/>
      <c r="N737" s="31"/>
      <c r="O737" s="43"/>
    </row>
    <row r="738" spans="3:15" ht="12.5" x14ac:dyDescent="0.25">
      <c r="C738" s="31"/>
      <c r="I738" s="43"/>
      <c r="J738" s="43"/>
      <c r="K738" s="43"/>
      <c r="N738" s="31"/>
      <c r="O738" s="43"/>
    </row>
    <row r="739" spans="3:15" ht="12.5" x14ac:dyDescent="0.25">
      <c r="C739" s="31"/>
      <c r="I739" s="43"/>
      <c r="J739" s="43"/>
      <c r="K739" s="43"/>
      <c r="N739" s="31"/>
      <c r="O739" s="43"/>
    </row>
    <row r="740" spans="3:15" ht="12.5" x14ac:dyDescent="0.25">
      <c r="C740" s="31"/>
      <c r="I740" s="43"/>
      <c r="J740" s="43"/>
      <c r="K740" s="43"/>
      <c r="N740" s="31"/>
      <c r="O740" s="43"/>
    </row>
    <row r="741" spans="3:15" ht="12.5" x14ac:dyDescent="0.25">
      <c r="C741" s="31"/>
      <c r="I741" s="43"/>
      <c r="J741" s="43"/>
      <c r="K741" s="43"/>
      <c r="N741" s="31"/>
      <c r="O741" s="43"/>
    </row>
    <row r="742" spans="3:15" ht="12.5" x14ac:dyDescent="0.25">
      <c r="C742" s="31"/>
      <c r="I742" s="43"/>
      <c r="J742" s="43"/>
      <c r="K742" s="43"/>
      <c r="N742" s="31"/>
      <c r="O742" s="43"/>
    </row>
    <row r="743" spans="3:15" ht="12.5" x14ac:dyDescent="0.25">
      <c r="C743" s="31"/>
      <c r="I743" s="43"/>
      <c r="J743" s="43"/>
      <c r="K743" s="43"/>
      <c r="N743" s="31"/>
      <c r="O743" s="43"/>
    </row>
    <row r="744" spans="3:15" ht="12.5" x14ac:dyDescent="0.25">
      <c r="C744" s="31"/>
      <c r="I744" s="43"/>
      <c r="J744" s="43"/>
      <c r="K744" s="43"/>
      <c r="N744" s="31"/>
      <c r="O744" s="43"/>
    </row>
    <row r="745" spans="3:15" ht="12.5" x14ac:dyDescent="0.25">
      <c r="C745" s="31"/>
      <c r="I745" s="43"/>
      <c r="J745" s="43"/>
      <c r="K745" s="43"/>
      <c r="N745" s="31"/>
      <c r="O745" s="43"/>
    </row>
    <row r="746" spans="3:15" ht="12.5" x14ac:dyDescent="0.25">
      <c r="C746" s="31"/>
      <c r="I746" s="43"/>
      <c r="J746" s="43"/>
      <c r="K746" s="43"/>
      <c r="N746" s="31"/>
      <c r="O746" s="43"/>
    </row>
    <row r="747" spans="3:15" ht="12.5" x14ac:dyDescent="0.25">
      <c r="C747" s="31"/>
      <c r="I747" s="43"/>
      <c r="J747" s="43"/>
      <c r="K747" s="43"/>
      <c r="N747" s="31"/>
      <c r="O747" s="43"/>
    </row>
    <row r="748" spans="3:15" ht="12.5" x14ac:dyDescent="0.25">
      <c r="C748" s="31"/>
      <c r="I748" s="43"/>
      <c r="J748" s="43"/>
      <c r="K748" s="43"/>
      <c r="N748" s="31"/>
      <c r="O748" s="43"/>
    </row>
    <row r="749" spans="3:15" ht="12.5" x14ac:dyDescent="0.25">
      <c r="C749" s="31"/>
      <c r="I749" s="43"/>
      <c r="J749" s="43"/>
      <c r="K749" s="43"/>
      <c r="N749" s="31"/>
      <c r="O749" s="43"/>
    </row>
    <row r="750" spans="3:15" ht="12.5" x14ac:dyDescent="0.25">
      <c r="C750" s="31"/>
      <c r="I750" s="43"/>
      <c r="J750" s="43"/>
      <c r="K750" s="43"/>
      <c r="N750" s="31"/>
      <c r="O750" s="43"/>
    </row>
    <row r="751" spans="3:15" ht="12.5" x14ac:dyDescent="0.25">
      <c r="C751" s="31"/>
      <c r="I751" s="43"/>
      <c r="J751" s="43"/>
      <c r="K751" s="43"/>
      <c r="N751" s="31"/>
      <c r="O751" s="43"/>
    </row>
    <row r="752" spans="3:15" ht="12.5" x14ac:dyDescent="0.25">
      <c r="C752" s="31"/>
      <c r="I752" s="43"/>
      <c r="J752" s="43"/>
      <c r="K752" s="43"/>
      <c r="N752" s="31"/>
      <c r="O752" s="43"/>
    </row>
    <row r="753" spans="3:15" ht="12.5" x14ac:dyDescent="0.25">
      <c r="C753" s="31"/>
      <c r="I753" s="43"/>
      <c r="J753" s="43"/>
      <c r="K753" s="43"/>
      <c r="N753" s="31"/>
      <c r="O753" s="43"/>
    </row>
    <row r="754" spans="3:15" ht="12.5" x14ac:dyDescent="0.25">
      <c r="C754" s="31"/>
      <c r="I754" s="43"/>
      <c r="J754" s="43"/>
      <c r="K754" s="43"/>
      <c r="N754" s="31"/>
      <c r="O754" s="43"/>
    </row>
    <row r="755" spans="3:15" ht="12.5" x14ac:dyDescent="0.25">
      <c r="C755" s="31"/>
      <c r="I755" s="43"/>
      <c r="J755" s="43"/>
      <c r="K755" s="43"/>
      <c r="N755" s="31"/>
      <c r="O755" s="43"/>
    </row>
    <row r="756" spans="3:15" ht="12.5" x14ac:dyDescent="0.25">
      <c r="C756" s="31"/>
      <c r="I756" s="43"/>
      <c r="J756" s="43"/>
      <c r="K756" s="43"/>
      <c r="N756" s="31"/>
      <c r="O756" s="43"/>
    </row>
    <row r="757" spans="3:15" ht="12.5" x14ac:dyDescent="0.25">
      <c r="C757" s="31"/>
      <c r="I757" s="43"/>
      <c r="J757" s="43"/>
      <c r="K757" s="43"/>
      <c r="N757" s="31"/>
      <c r="O757" s="43"/>
    </row>
    <row r="758" spans="3:15" ht="12.5" x14ac:dyDescent="0.25">
      <c r="C758" s="31"/>
      <c r="I758" s="43"/>
      <c r="J758" s="43"/>
      <c r="K758" s="43"/>
      <c r="N758" s="31"/>
      <c r="O758" s="43"/>
    </row>
    <row r="759" spans="3:15" ht="12.5" x14ac:dyDescent="0.25">
      <c r="C759" s="31"/>
      <c r="I759" s="43"/>
      <c r="J759" s="43"/>
      <c r="K759" s="43"/>
      <c r="N759" s="31"/>
      <c r="O759" s="43"/>
    </row>
    <row r="760" spans="3:15" ht="12.5" x14ac:dyDescent="0.25">
      <c r="C760" s="31"/>
      <c r="I760" s="43"/>
      <c r="J760" s="43"/>
      <c r="K760" s="43"/>
      <c r="N760" s="31"/>
      <c r="O760" s="43"/>
    </row>
    <row r="761" spans="3:15" ht="12.5" x14ac:dyDescent="0.25">
      <c r="C761" s="31"/>
      <c r="I761" s="43"/>
      <c r="J761" s="43"/>
      <c r="K761" s="43"/>
      <c r="N761" s="31"/>
      <c r="O761" s="43"/>
    </row>
    <row r="762" spans="3:15" ht="12.5" x14ac:dyDescent="0.25">
      <c r="C762" s="31"/>
      <c r="I762" s="43"/>
      <c r="J762" s="43"/>
      <c r="K762" s="43"/>
      <c r="N762" s="31"/>
      <c r="O762" s="43"/>
    </row>
    <row r="763" spans="3:15" ht="12.5" x14ac:dyDescent="0.25">
      <c r="C763" s="31"/>
      <c r="I763" s="43"/>
      <c r="J763" s="43"/>
      <c r="K763" s="43"/>
      <c r="N763" s="31"/>
      <c r="O763" s="43"/>
    </row>
    <row r="764" spans="3:15" ht="12.5" x14ac:dyDescent="0.25">
      <c r="C764" s="31"/>
      <c r="I764" s="43"/>
      <c r="J764" s="43"/>
      <c r="K764" s="43"/>
      <c r="N764" s="31"/>
      <c r="O764" s="43"/>
    </row>
    <row r="765" spans="3:15" ht="12.5" x14ac:dyDescent="0.25">
      <c r="C765" s="31"/>
      <c r="I765" s="43"/>
      <c r="J765" s="43"/>
      <c r="K765" s="43"/>
      <c r="N765" s="31"/>
      <c r="O765" s="43"/>
    </row>
    <row r="766" spans="3:15" ht="12.5" x14ac:dyDescent="0.25">
      <c r="C766" s="31"/>
      <c r="I766" s="43"/>
      <c r="J766" s="43"/>
      <c r="K766" s="43"/>
      <c r="N766" s="31"/>
      <c r="O766" s="43"/>
    </row>
    <row r="767" spans="3:15" ht="12.5" x14ac:dyDescent="0.25">
      <c r="C767" s="31"/>
      <c r="I767" s="43"/>
      <c r="J767" s="43"/>
      <c r="K767" s="43"/>
      <c r="N767" s="31"/>
      <c r="O767" s="43"/>
    </row>
    <row r="768" spans="3:15" ht="12.5" x14ac:dyDescent="0.25">
      <c r="C768" s="31"/>
      <c r="I768" s="43"/>
      <c r="J768" s="43"/>
      <c r="K768" s="43"/>
      <c r="N768" s="31"/>
      <c r="O768" s="43"/>
    </row>
    <row r="769" spans="3:15" ht="12.5" x14ac:dyDescent="0.25">
      <c r="C769" s="31"/>
      <c r="I769" s="43"/>
      <c r="J769" s="43"/>
      <c r="K769" s="43"/>
      <c r="N769" s="31"/>
      <c r="O769" s="43"/>
    </row>
    <row r="770" spans="3:15" ht="12.5" x14ac:dyDescent="0.25">
      <c r="C770" s="31"/>
      <c r="I770" s="43"/>
      <c r="J770" s="43"/>
      <c r="K770" s="43"/>
      <c r="N770" s="31"/>
      <c r="O770" s="43"/>
    </row>
    <row r="771" spans="3:15" ht="12.5" x14ac:dyDescent="0.25">
      <c r="C771" s="31"/>
      <c r="I771" s="43"/>
      <c r="J771" s="43"/>
      <c r="K771" s="43"/>
      <c r="N771" s="31"/>
      <c r="O771" s="43"/>
    </row>
    <row r="772" spans="3:15" ht="12.5" x14ac:dyDescent="0.25">
      <c r="C772" s="31"/>
      <c r="I772" s="43"/>
      <c r="J772" s="43"/>
      <c r="K772" s="43"/>
      <c r="N772" s="31"/>
      <c r="O772" s="43"/>
    </row>
    <row r="773" spans="3:15" ht="12.5" x14ac:dyDescent="0.25">
      <c r="C773" s="31"/>
      <c r="I773" s="43"/>
      <c r="J773" s="43"/>
      <c r="K773" s="43"/>
      <c r="N773" s="31"/>
      <c r="O773" s="43"/>
    </row>
    <row r="774" spans="3:15" ht="12.5" x14ac:dyDescent="0.25">
      <c r="C774" s="31"/>
      <c r="I774" s="43"/>
      <c r="J774" s="43"/>
      <c r="K774" s="43"/>
      <c r="N774" s="31"/>
      <c r="O774" s="43"/>
    </row>
    <row r="775" spans="3:15" ht="12.5" x14ac:dyDescent="0.25">
      <c r="C775" s="31"/>
      <c r="I775" s="43"/>
      <c r="J775" s="43"/>
      <c r="K775" s="43"/>
      <c r="N775" s="31"/>
      <c r="O775" s="43"/>
    </row>
    <row r="776" spans="3:15" ht="12.5" x14ac:dyDescent="0.25">
      <c r="C776" s="31"/>
      <c r="I776" s="43"/>
      <c r="J776" s="43"/>
      <c r="K776" s="43"/>
      <c r="N776" s="31"/>
      <c r="O776" s="43"/>
    </row>
    <row r="777" spans="3:15" ht="12.5" x14ac:dyDescent="0.25">
      <c r="C777" s="31"/>
      <c r="I777" s="43"/>
      <c r="J777" s="43"/>
      <c r="K777" s="43"/>
      <c r="N777" s="31"/>
      <c r="O777" s="43"/>
    </row>
    <row r="778" spans="3:15" ht="12.5" x14ac:dyDescent="0.25">
      <c r="C778" s="31"/>
      <c r="I778" s="43"/>
      <c r="J778" s="43"/>
      <c r="K778" s="43"/>
      <c r="N778" s="31"/>
      <c r="O778" s="43"/>
    </row>
    <row r="779" spans="3:15" ht="12.5" x14ac:dyDescent="0.25">
      <c r="C779" s="31"/>
      <c r="I779" s="43"/>
      <c r="J779" s="43"/>
      <c r="K779" s="43"/>
      <c r="N779" s="31"/>
      <c r="O779" s="43"/>
    </row>
    <row r="780" spans="3:15" ht="12.5" x14ac:dyDescent="0.25">
      <c r="C780" s="31"/>
      <c r="I780" s="43"/>
      <c r="J780" s="43"/>
      <c r="K780" s="43"/>
      <c r="N780" s="31"/>
      <c r="O780" s="43"/>
    </row>
    <row r="781" spans="3:15" ht="12.5" x14ac:dyDescent="0.25">
      <c r="C781" s="31"/>
      <c r="I781" s="43"/>
      <c r="J781" s="43"/>
      <c r="K781" s="43"/>
      <c r="N781" s="31"/>
      <c r="O781" s="43"/>
    </row>
    <row r="782" spans="3:15" ht="12.5" x14ac:dyDescent="0.25">
      <c r="C782" s="31"/>
      <c r="I782" s="43"/>
      <c r="J782" s="43"/>
      <c r="K782" s="43"/>
      <c r="N782" s="31"/>
      <c r="O782" s="43"/>
    </row>
    <row r="783" spans="3:15" ht="12.5" x14ac:dyDescent="0.25">
      <c r="C783" s="31"/>
      <c r="I783" s="43"/>
      <c r="J783" s="43"/>
      <c r="K783" s="43"/>
      <c r="N783" s="31"/>
      <c r="O783" s="43"/>
    </row>
    <row r="784" spans="3:15" ht="12.5" x14ac:dyDescent="0.25">
      <c r="C784" s="31"/>
      <c r="I784" s="43"/>
      <c r="J784" s="43"/>
      <c r="K784" s="43"/>
      <c r="N784" s="31"/>
      <c r="O784" s="43"/>
    </row>
    <row r="785" spans="3:15" ht="12.5" x14ac:dyDescent="0.25">
      <c r="C785" s="31"/>
      <c r="I785" s="43"/>
      <c r="J785" s="43"/>
      <c r="K785" s="43"/>
      <c r="N785" s="31"/>
      <c r="O785" s="43"/>
    </row>
    <row r="786" spans="3:15" ht="12.5" x14ac:dyDescent="0.25">
      <c r="C786" s="31"/>
      <c r="I786" s="43"/>
      <c r="J786" s="43"/>
      <c r="K786" s="43"/>
      <c r="N786" s="31"/>
      <c r="O786" s="43"/>
    </row>
    <row r="787" spans="3:15" ht="12.5" x14ac:dyDescent="0.25">
      <c r="C787" s="31"/>
      <c r="I787" s="43"/>
      <c r="J787" s="43"/>
      <c r="K787" s="43"/>
      <c r="N787" s="31"/>
      <c r="O787" s="43"/>
    </row>
    <row r="788" spans="3:15" ht="12.5" x14ac:dyDescent="0.25">
      <c r="C788" s="31"/>
      <c r="I788" s="43"/>
      <c r="J788" s="43"/>
      <c r="K788" s="43"/>
      <c r="N788" s="31"/>
      <c r="O788" s="43"/>
    </row>
    <row r="789" spans="3:15" ht="12.5" x14ac:dyDescent="0.25">
      <c r="C789" s="31"/>
      <c r="I789" s="43"/>
      <c r="J789" s="43"/>
      <c r="K789" s="43"/>
      <c r="N789" s="31"/>
      <c r="O789" s="43"/>
    </row>
    <row r="790" spans="3:15" ht="12.5" x14ac:dyDescent="0.25">
      <c r="C790" s="31"/>
      <c r="I790" s="43"/>
      <c r="J790" s="43"/>
      <c r="K790" s="43"/>
      <c r="N790" s="31"/>
      <c r="O790" s="43"/>
    </row>
    <row r="791" spans="3:15" ht="12.5" x14ac:dyDescent="0.25">
      <c r="C791" s="31"/>
      <c r="I791" s="43"/>
      <c r="J791" s="43"/>
      <c r="K791" s="43"/>
      <c r="N791" s="31"/>
      <c r="O791" s="43"/>
    </row>
    <row r="792" spans="3:15" ht="12.5" x14ac:dyDescent="0.25">
      <c r="C792" s="31"/>
      <c r="I792" s="43"/>
      <c r="J792" s="43"/>
      <c r="K792" s="43"/>
      <c r="N792" s="31"/>
      <c r="O792" s="43"/>
    </row>
    <row r="793" spans="3:15" ht="12.5" x14ac:dyDescent="0.25">
      <c r="C793" s="31"/>
      <c r="I793" s="43"/>
      <c r="J793" s="43"/>
      <c r="K793" s="43"/>
      <c r="N793" s="31"/>
      <c r="O793" s="43"/>
    </row>
    <row r="794" spans="3:15" ht="12.5" x14ac:dyDescent="0.25">
      <c r="C794" s="31"/>
      <c r="I794" s="43"/>
      <c r="J794" s="43"/>
      <c r="K794" s="43"/>
      <c r="N794" s="31"/>
      <c r="O794" s="43"/>
    </row>
    <row r="795" spans="3:15" ht="12.5" x14ac:dyDescent="0.25">
      <c r="C795" s="31"/>
      <c r="I795" s="43"/>
      <c r="J795" s="43"/>
      <c r="K795" s="43"/>
      <c r="N795" s="31"/>
      <c r="O795" s="43"/>
    </row>
    <row r="796" spans="3:15" ht="12.5" x14ac:dyDescent="0.25">
      <c r="C796" s="31"/>
      <c r="I796" s="43"/>
      <c r="J796" s="43"/>
      <c r="K796" s="43"/>
      <c r="N796" s="31"/>
      <c r="O796" s="43"/>
    </row>
    <row r="797" spans="3:15" ht="12.5" x14ac:dyDescent="0.25">
      <c r="C797" s="31"/>
      <c r="I797" s="43"/>
      <c r="J797" s="43"/>
      <c r="K797" s="43"/>
      <c r="N797" s="31"/>
      <c r="O797" s="43"/>
    </row>
    <row r="798" spans="3:15" ht="12.5" x14ac:dyDescent="0.25">
      <c r="C798" s="31"/>
      <c r="I798" s="43"/>
      <c r="J798" s="43"/>
      <c r="K798" s="43"/>
      <c r="N798" s="31"/>
      <c r="O798" s="43"/>
    </row>
    <row r="799" spans="3:15" ht="12.5" x14ac:dyDescent="0.25">
      <c r="C799" s="31"/>
      <c r="I799" s="43"/>
      <c r="J799" s="43"/>
      <c r="K799" s="43"/>
      <c r="N799" s="31"/>
      <c r="O799" s="43"/>
    </row>
    <row r="800" spans="3:15" ht="12.5" x14ac:dyDescent="0.25">
      <c r="C800" s="31"/>
      <c r="I800" s="43"/>
      <c r="J800" s="43"/>
      <c r="K800" s="43"/>
      <c r="N800" s="31"/>
      <c r="O800" s="43"/>
    </row>
    <row r="801" spans="3:15" ht="12.5" x14ac:dyDescent="0.25">
      <c r="C801" s="31"/>
      <c r="I801" s="43"/>
      <c r="J801" s="43"/>
      <c r="K801" s="43"/>
      <c r="N801" s="31"/>
      <c r="O801" s="43"/>
    </row>
    <row r="802" spans="3:15" ht="12.5" x14ac:dyDescent="0.25">
      <c r="C802" s="31"/>
      <c r="I802" s="43"/>
      <c r="J802" s="43"/>
      <c r="K802" s="43"/>
      <c r="N802" s="31"/>
      <c r="O802" s="43"/>
    </row>
    <row r="803" spans="3:15" ht="12.5" x14ac:dyDescent="0.25">
      <c r="C803" s="31"/>
      <c r="I803" s="43"/>
      <c r="J803" s="43"/>
      <c r="K803" s="43"/>
      <c r="N803" s="31"/>
      <c r="O803" s="43"/>
    </row>
    <row r="804" spans="3:15" ht="12.5" x14ac:dyDescent="0.25">
      <c r="C804" s="31"/>
      <c r="I804" s="43"/>
      <c r="J804" s="43"/>
      <c r="K804" s="43"/>
      <c r="N804" s="31"/>
      <c r="O804" s="43"/>
    </row>
    <row r="805" spans="3:15" ht="12.5" x14ac:dyDescent="0.25">
      <c r="C805" s="31"/>
      <c r="I805" s="43"/>
      <c r="J805" s="43"/>
      <c r="K805" s="43"/>
      <c r="N805" s="31"/>
      <c r="O805" s="43"/>
    </row>
    <row r="806" spans="3:15" ht="12.5" x14ac:dyDescent="0.25">
      <c r="C806" s="31"/>
      <c r="I806" s="43"/>
      <c r="J806" s="43"/>
      <c r="K806" s="43"/>
      <c r="N806" s="31"/>
      <c r="O806" s="43"/>
    </row>
    <row r="807" spans="3:15" ht="12.5" x14ac:dyDescent="0.25">
      <c r="C807" s="31"/>
      <c r="I807" s="43"/>
      <c r="J807" s="43"/>
      <c r="K807" s="43"/>
      <c r="N807" s="31"/>
      <c r="O807" s="43"/>
    </row>
    <row r="808" spans="3:15" ht="12.5" x14ac:dyDescent="0.25">
      <c r="C808" s="31"/>
      <c r="I808" s="43"/>
      <c r="J808" s="43"/>
      <c r="K808" s="43"/>
      <c r="N808" s="31"/>
      <c r="O808" s="43"/>
    </row>
    <row r="809" spans="3:15" ht="12.5" x14ac:dyDescent="0.25">
      <c r="C809" s="31"/>
      <c r="I809" s="43"/>
      <c r="J809" s="43"/>
      <c r="K809" s="43"/>
      <c r="N809" s="31"/>
      <c r="O809" s="43"/>
    </row>
    <row r="810" spans="3:15" ht="12.5" x14ac:dyDescent="0.25">
      <c r="C810" s="31"/>
      <c r="I810" s="43"/>
      <c r="J810" s="43"/>
      <c r="K810" s="43"/>
      <c r="N810" s="31"/>
      <c r="O810" s="43"/>
    </row>
    <row r="811" spans="3:15" ht="12.5" x14ac:dyDescent="0.25">
      <c r="C811" s="31"/>
      <c r="I811" s="43"/>
      <c r="J811" s="43"/>
      <c r="K811" s="43"/>
      <c r="N811" s="31"/>
      <c r="O811" s="43"/>
    </row>
    <row r="812" spans="3:15" ht="12.5" x14ac:dyDescent="0.25">
      <c r="C812" s="31"/>
      <c r="I812" s="43"/>
      <c r="J812" s="43"/>
      <c r="K812" s="43"/>
      <c r="N812" s="31"/>
      <c r="O812" s="43"/>
    </row>
    <row r="813" spans="3:15" ht="12.5" x14ac:dyDescent="0.25">
      <c r="C813" s="31"/>
      <c r="I813" s="43"/>
      <c r="J813" s="43"/>
      <c r="K813" s="43"/>
      <c r="N813" s="31"/>
      <c r="O813" s="43"/>
    </row>
    <row r="814" spans="3:15" ht="12.5" x14ac:dyDescent="0.25">
      <c r="C814" s="31"/>
      <c r="I814" s="43"/>
      <c r="J814" s="43"/>
      <c r="K814" s="43"/>
      <c r="N814" s="31"/>
      <c r="O814" s="43"/>
    </row>
    <row r="815" spans="3:15" ht="12.5" x14ac:dyDescent="0.25">
      <c r="C815" s="31"/>
      <c r="I815" s="43"/>
      <c r="J815" s="43"/>
      <c r="K815" s="43"/>
      <c r="N815" s="31"/>
      <c r="O815" s="43"/>
    </row>
    <row r="816" spans="3:15" ht="12.5" x14ac:dyDescent="0.25">
      <c r="C816" s="31"/>
      <c r="I816" s="43"/>
      <c r="J816" s="43"/>
      <c r="K816" s="43"/>
      <c r="N816" s="31"/>
      <c r="O816" s="43"/>
    </row>
    <row r="817" spans="3:15" ht="12.5" x14ac:dyDescent="0.25">
      <c r="C817" s="31"/>
      <c r="I817" s="43"/>
      <c r="J817" s="43"/>
      <c r="K817" s="43"/>
      <c r="N817" s="31"/>
      <c r="O817" s="43"/>
    </row>
    <row r="818" spans="3:15" ht="12.5" x14ac:dyDescent="0.25">
      <c r="C818" s="31"/>
      <c r="I818" s="43"/>
      <c r="J818" s="43"/>
      <c r="K818" s="43"/>
      <c r="N818" s="31"/>
      <c r="O818" s="43"/>
    </row>
    <row r="819" spans="3:15" ht="12.5" x14ac:dyDescent="0.25">
      <c r="C819" s="31"/>
      <c r="I819" s="43"/>
      <c r="J819" s="43"/>
      <c r="K819" s="43"/>
      <c r="N819" s="31"/>
      <c r="O819" s="43"/>
    </row>
    <row r="820" spans="3:15" ht="12.5" x14ac:dyDescent="0.25">
      <c r="C820" s="31"/>
      <c r="I820" s="43"/>
      <c r="J820" s="43"/>
      <c r="K820" s="43"/>
      <c r="N820" s="31"/>
      <c r="O820" s="43"/>
    </row>
    <row r="821" spans="3:15" ht="12.5" x14ac:dyDescent="0.25">
      <c r="C821" s="31"/>
      <c r="I821" s="43"/>
      <c r="J821" s="43"/>
      <c r="K821" s="43"/>
      <c r="N821" s="31"/>
      <c r="O821" s="43"/>
    </row>
    <row r="822" spans="3:15" ht="12.5" x14ac:dyDescent="0.25">
      <c r="C822" s="31"/>
      <c r="I822" s="43"/>
      <c r="J822" s="43"/>
      <c r="K822" s="43"/>
      <c r="N822" s="31"/>
      <c r="O822" s="43"/>
    </row>
    <row r="823" spans="3:15" ht="12.5" x14ac:dyDescent="0.25">
      <c r="C823" s="31"/>
      <c r="I823" s="43"/>
      <c r="J823" s="43"/>
      <c r="K823" s="43"/>
      <c r="N823" s="31"/>
      <c r="O823" s="43"/>
    </row>
    <row r="824" spans="3:15" ht="12.5" x14ac:dyDescent="0.25">
      <c r="C824" s="31"/>
      <c r="I824" s="43"/>
      <c r="J824" s="43"/>
      <c r="K824" s="43"/>
      <c r="N824" s="31"/>
      <c r="O824" s="43"/>
    </row>
    <row r="825" spans="3:15" ht="12.5" x14ac:dyDescent="0.25">
      <c r="C825" s="31"/>
      <c r="I825" s="43"/>
      <c r="J825" s="43"/>
      <c r="K825" s="43"/>
      <c r="N825" s="31"/>
      <c r="O825" s="43"/>
    </row>
    <row r="826" spans="3:15" ht="12.5" x14ac:dyDescent="0.25">
      <c r="C826" s="31"/>
      <c r="I826" s="43"/>
      <c r="J826" s="43"/>
      <c r="K826" s="43"/>
      <c r="N826" s="31"/>
      <c r="O826" s="43"/>
    </row>
    <row r="827" spans="3:15" ht="12.5" x14ac:dyDescent="0.25">
      <c r="C827" s="31"/>
      <c r="I827" s="43"/>
      <c r="J827" s="43"/>
      <c r="K827" s="43"/>
      <c r="N827" s="31"/>
      <c r="O827" s="43"/>
    </row>
    <row r="828" spans="3:15" ht="12.5" x14ac:dyDescent="0.25">
      <c r="C828" s="31"/>
      <c r="I828" s="43"/>
      <c r="J828" s="43"/>
      <c r="K828" s="43"/>
      <c r="N828" s="31"/>
      <c r="O828" s="43"/>
    </row>
    <row r="829" spans="3:15" ht="12.5" x14ac:dyDescent="0.25">
      <c r="C829" s="31"/>
      <c r="I829" s="43"/>
      <c r="J829" s="43"/>
      <c r="K829" s="43"/>
      <c r="N829" s="31"/>
      <c r="O829" s="43"/>
    </row>
    <row r="830" spans="3:15" ht="12.5" x14ac:dyDescent="0.25">
      <c r="C830" s="31"/>
      <c r="I830" s="43"/>
      <c r="J830" s="43"/>
      <c r="K830" s="43"/>
      <c r="N830" s="31"/>
      <c r="O830" s="43"/>
    </row>
    <row r="831" spans="3:15" ht="12.5" x14ac:dyDescent="0.25">
      <c r="C831" s="31"/>
      <c r="I831" s="43"/>
      <c r="J831" s="43"/>
      <c r="K831" s="43"/>
      <c r="N831" s="31"/>
      <c r="O831" s="43"/>
    </row>
    <row r="832" spans="3:15" ht="12.5" x14ac:dyDescent="0.25">
      <c r="C832" s="31"/>
      <c r="I832" s="43"/>
      <c r="J832" s="43"/>
      <c r="K832" s="43"/>
      <c r="N832" s="31"/>
      <c r="O832" s="43"/>
    </row>
    <row r="833" spans="3:15" ht="12.5" x14ac:dyDescent="0.25">
      <c r="C833" s="31"/>
      <c r="I833" s="43"/>
      <c r="J833" s="43"/>
      <c r="K833" s="43"/>
      <c r="N833" s="31"/>
      <c r="O833" s="43"/>
    </row>
    <row r="834" spans="3:15" ht="12.5" x14ac:dyDescent="0.25">
      <c r="C834" s="31"/>
      <c r="I834" s="43"/>
      <c r="J834" s="43"/>
      <c r="K834" s="43"/>
      <c r="N834" s="31"/>
      <c r="O834" s="43"/>
    </row>
    <row r="835" spans="3:15" ht="12.5" x14ac:dyDescent="0.25">
      <c r="C835" s="31"/>
      <c r="I835" s="43"/>
      <c r="J835" s="43"/>
      <c r="K835" s="43"/>
      <c r="N835" s="31"/>
      <c r="O835" s="43"/>
    </row>
    <row r="836" spans="3:15" ht="12.5" x14ac:dyDescent="0.25">
      <c r="C836" s="31"/>
      <c r="I836" s="43"/>
      <c r="J836" s="43"/>
      <c r="K836" s="43"/>
      <c r="N836" s="31"/>
      <c r="O836" s="43"/>
    </row>
    <row r="837" spans="3:15" ht="12.5" x14ac:dyDescent="0.25">
      <c r="C837" s="31"/>
      <c r="I837" s="43"/>
      <c r="J837" s="43"/>
      <c r="K837" s="43"/>
      <c r="N837" s="31"/>
      <c r="O837" s="43"/>
    </row>
    <row r="838" spans="3:15" ht="12.5" x14ac:dyDescent="0.25">
      <c r="C838" s="31"/>
      <c r="I838" s="43"/>
      <c r="J838" s="43"/>
      <c r="K838" s="43"/>
      <c r="N838" s="31"/>
      <c r="O838" s="43"/>
    </row>
    <row r="839" spans="3:15" ht="12.5" x14ac:dyDescent="0.25">
      <c r="C839" s="31"/>
      <c r="I839" s="43"/>
      <c r="J839" s="43"/>
      <c r="K839" s="43"/>
      <c r="N839" s="31"/>
      <c r="O839" s="43"/>
    </row>
    <row r="840" spans="3:15" ht="12.5" x14ac:dyDescent="0.25">
      <c r="C840" s="31"/>
      <c r="I840" s="43"/>
      <c r="J840" s="43"/>
      <c r="K840" s="43"/>
      <c r="N840" s="31"/>
      <c r="O840" s="43"/>
    </row>
    <row r="841" spans="3:15" ht="12.5" x14ac:dyDescent="0.25">
      <c r="C841" s="31"/>
      <c r="I841" s="43"/>
      <c r="J841" s="43"/>
      <c r="K841" s="43"/>
      <c r="N841" s="31"/>
      <c r="O841" s="43"/>
    </row>
    <row r="842" spans="3:15" ht="12.5" x14ac:dyDescent="0.25">
      <c r="C842" s="31"/>
      <c r="I842" s="43"/>
      <c r="J842" s="43"/>
      <c r="K842" s="43"/>
      <c r="N842" s="31"/>
      <c r="O842" s="43"/>
    </row>
    <row r="843" spans="3:15" ht="12.5" x14ac:dyDescent="0.25">
      <c r="C843" s="31"/>
      <c r="I843" s="43"/>
      <c r="J843" s="43"/>
      <c r="K843" s="43"/>
      <c r="N843" s="31"/>
      <c r="O843" s="43"/>
    </row>
    <row r="844" spans="3:15" ht="12.5" x14ac:dyDescent="0.25">
      <c r="C844" s="31"/>
      <c r="I844" s="43"/>
      <c r="J844" s="43"/>
      <c r="K844" s="43"/>
      <c r="N844" s="31"/>
      <c r="O844" s="43"/>
    </row>
    <row r="845" spans="3:15" ht="12.5" x14ac:dyDescent="0.25">
      <c r="C845" s="31"/>
      <c r="I845" s="43"/>
      <c r="J845" s="43"/>
      <c r="K845" s="43"/>
      <c r="N845" s="31"/>
      <c r="O845" s="43"/>
    </row>
    <row r="846" spans="3:15" ht="12.5" x14ac:dyDescent="0.25">
      <c r="C846" s="31"/>
      <c r="I846" s="43"/>
      <c r="J846" s="43"/>
      <c r="K846" s="43"/>
      <c r="N846" s="31"/>
      <c r="O846" s="43"/>
    </row>
    <row r="847" spans="3:15" ht="12.5" x14ac:dyDescent="0.25">
      <c r="C847" s="31"/>
      <c r="I847" s="43"/>
      <c r="J847" s="43"/>
      <c r="K847" s="43"/>
      <c r="N847" s="31"/>
      <c r="O847" s="43"/>
    </row>
    <row r="848" spans="3:15" ht="12.5" x14ac:dyDescent="0.25">
      <c r="C848" s="31"/>
      <c r="I848" s="43"/>
      <c r="J848" s="43"/>
      <c r="K848" s="43"/>
      <c r="N848" s="31"/>
      <c r="O848" s="43"/>
    </row>
    <row r="849" spans="3:15" ht="12.5" x14ac:dyDescent="0.25">
      <c r="C849" s="31"/>
      <c r="I849" s="43"/>
      <c r="J849" s="43"/>
      <c r="K849" s="43"/>
      <c r="N849" s="31"/>
      <c r="O849" s="43"/>
    </row>
    <row r="850" spans="3:15" ht="12.5" x14ac:dyDescent="0.25">
      <c r="C850" s="31"/>
      <c r="I850" s="43"/>
      <c r="J850" s="43"/>
      <c r="K850" s="43"/>
      <c r="N850" s="31"/>
      <c r="O850" s="43"/>
    </row>
    <row r="851" spans="3:15" ht="12.5" x14ac:dyDescent="0.25">
      <c r="C851" s="31"/>
      <c r="I851" s="43"/>
      <c r="J851" s="43"/>
      <c r="K851" s="43"/>
      <c r="N851" s="31"/>
      <c r="O851" s="43"/>
    </row>
    <row r="852" spans="3:15" ht="12.5" x14ac:dyDescent="0.25">
      <c r="C852" s="31"/>
      <c r="I852" s="43"/>
      <c r="J852" s="43"/>
      <c r="K852" s="43"/>
      <c r="N852" s="31"/>
      <c r="O852" s="43"/>
    </row>
    <row r="853" spans="3:15" ht="12.5" x14ac:dyDescent="0.25">
      <c r="C853" s="31"/>
      <c r="I853" s="43"/>
      <c r="J853" s="43"/>
      <c r="K853" s="43"/>
      <c r="N853" s="31"/>
      <c r="O853" s="43"/>
    </row>
    <row r="854" spans="3:15" ht="12.5" x14ac:dyDescent="0.25">
      <c r="C854" s="31"/>
      <c r="I854" s="43"/>
      <c r="J854" s="43"/>
      <c r="K854" s="43"/>
      <c r="N854" s="31"/>
      <c r="O854" s="43"/>
    </row>
    <row r="855" spans="3:15" ht="12.5" x14ac:dyDescent="0.25">
      <c r="C855" s="31"/>
      <c r="I855" s="43"/>
      <c r="J855" s="43"/>
      <c r="K855" s="43"/>
      <c r="N855" s="31"/>
      <c r="O855" s="43"/>
    </row>
    <row r="856" spans="3:15" ht="12.5" x14ac:dyDescent="0.25">
      <c r="C856" s="31"/>
      <c r="I856" s="43"/>
      <c r="J856" s="43"/>
      <c r="K856" s="43"/>
      <c r="N856" s="31"/>
      <c r="O856" s="43"/>
    </row>
    <row r="857" spans="3:15" ht="12.5" x14ac:dyDescent="0.25">
      <c r="C857" s="31"/>
      <c r="I857" s="43"/>
      <c r="J857" s="43"/>
      <c r="K857" s="43"/>
      <c r="N857" s="31"/>
      <c r="O857" s="43"/>
    </row>
    <row r="858" spans="3:15" ht="12.5" x14ac:dyDescent="0.25">
      <c r="C858" s="31"/>
      <c r="I858" s="43"/>
      <c r="J858" s="43"/>
      <c r="K858" s="43"/>
      <c r="N858" s="31"/>
      <c r="O858" s="43"/>
    </row>
    <row r="859" spans="3:15" ht="12.5" x14ac:dyDescent="0.25">
      <c r="C859" s="31"/>
      <c r="I859" s="43"/>
      <c r="J859" s="43"/>
      <c r="K859" s="43"/>
      <c r="N859" s="31"/>
      <c r="O859" s="43"/>
    </row>
    <row r="860" spans="3:15" ht="12.5" x14ac:dyDescent="0.25">
      <c r="C860" s="31"/>
      <c r="I860" s="43"/>
      <c r="J860" s="43"/>
      <c r="K860" s="43"/>
      <c r="N860" s="31"/>
      <c r="O860" s="43"/>
    </row>
    <row r="861" spans="3:15" ht="12.5" x14ac:dyDescent="0.25">
      <c r="C861" s="31"/>
      <c r="I861" s="43"/>
      <c r="J861" s="43"/>
      <c r="K861" s="43"/>
      <c r="N861" s="31"/>
      <c r="O861" s="43"/>
    </row>
    <row r="862" spans="3:15" ht="12.5" x14ac:dyDescent="0.25">
      <c r="C862" s="31"/>
      <c r="I862" s="43"/>
      <c r="J862" s="43"/>
      <c r="K862" s="43"/>
      <c r="N862" s="31"/>
      <c r="O862" s="43"/>
    </row>
    <row r="863" spans="3:15" ht="12.5" x14ac:dyDescent="0.25">
      <c r="C863" s="31"/>
      <c r="I863" s="43"/>
      <c r="J863" s="43"/>
      <c r="K863" s="43"/>
      <c r="N863" s="31"/>
      <c r="O863" s="43"/>
    </row>
    <row r="864" spans="3:15" ht="12.5" x14ac:dyDescent="0.25">
      <c r="C864" s="31"/>
      <c r="I864" s="43"/>
      <c r="J864" s="43"/>
      <c r="K864" s="43"/>
      <c r="N864" s="31"/>
      <c r="O864" s="43"/>
    </row>
    <row r="865" spans="3:15" ht="12.5" x14ac:dyDescent="0.25">
      <c r="C865" s="31"/>
      <c r="I865" s="43"/>
      <c r="J865" s="43"/>
      <c r="K865" s="43"/>
      <c r="N865" s="31"/>
      <c r="O865" s="43"/>
    </row>
    <row r="866" spans="3:15" ht="12.5" x14ac:dyDescent="0.25">
      <c r="C866" s="31"/>
      <c r="I866" s="43"/>
      <c r="J866" s="43"/>
      <c r="K866" s="43"/>
      <c r="N866" s="31"/>
      <c r="O866" s="43"/>
    </row>
    <row r="867" spans="3:15" ht="12.5" x14ac:dyDescent="0.25">
      <c r="C867" s="31"/>
      <c r="I867" s="43"/>
      <c r="J867" s="43"/>
      <c r="K867" s="43"/>
      <c r="N867" s="31"/>
      <c r="O867" s="43"/>
    </row>
    <row r="868" spans="3:15" ht="12.5" x14ac:dyDescent="0.25">
      <c r="C868" s="31"/>
      <c r="I868" s="43"/>
      <c r="J868" s="43"/>
      <c r="K868" s="43"/>
      <c r="N868" s="31"/>
      <c r="O868" s="43"/>
    </row>
    <row r="869" spans="3:15" ht="12.5" x14ac:dyDescent="0.25">
      <c r="C869" s="31"/>
      <c r="I869" s="43"/>
      <c r="J869" s="43"/>
      <c r="K869" s="43"/>
      <c r="N869" s="31"/>
      <c r="O869" s="43"/>
    </row>
    <row r="870" spans="3:15" ht="12.5" x14ac:dyDescent="0.25">
      <c r="C870" s="31"/>
      <c r="I870" s="43"/>
      <c r="J870" s="43"/>
      <c r="K870" s="43"/>
      <c r="N870" s="31"/>
      <c r="O870" s="43"/>
    </row>
    <row r="871" spans="3:15" ht="12.5" x14ac:dyDescent="0.25">
      <c r="C871" s="31"/>
      <c r="I871" s="43"/>
      <c r="J871" s="43"/>
      <c r="K871" s="43"/>
      <c r="N871" s="31"/>
      <c r="O871" s="43"/>
    </row>
    <row r="872" spans="3:15" ht="12.5" x14ac:dyDescent="0.25">
      <c r="C872" s="31"/>
      <c r="I872" s="43"/>
      <c r="J872" s="43"/>
      <c r="K872" s="43"/>
      <c r="N872" s="31"/>
      <c r="O872" s="43"/>
    </row>
    <row r="873" spans="3:15" ht="12.5" x14ac:dyDescent="0.25">
      <c r="C873" s="31"/>
      <c r="I873" s="43"/>
      <c r="J873" s="43"/>
      <c r="K873" s="43"/>
      <c r="N873" s="31"/>
      <c r="O873" s="43"/>
    </row>
    <row r="874" spans="3:15" ht="12.5" x14ac:dyDescent="0.25">
      <c r="C874" s="31"/>
      <c r="I874" s="43"/>
      <c r="J874" s="43"/>
      <c r="K874" s="43"/>
      <c r="N874" s="31"/>
      <c r="O874" s="43"/>
    </row>
    <row r="875" spans="3:15" ht="12.5" x14ac:dyDescent="0.25">
      <c r="C875" s="31"/>
      <c r="I875" s="43"/>
      <c r="J875" s="43"/>
      <c r="K875" s="43"/>
      <c r="N875" s="31"/>
      <c r="O875" s="43"/>
    </row>
    <row r="876" spans="3:15" ht="12.5" x14ac:dyDescent="0.25">
      <c r="C876" s="31"/>
      <c r="I876" s="43"/>
      <c r="J876" s="43"/>
      <c r="K876" s="43"/>
      <c r="N876" s="31"/>
      <c r="O876" s="43"/>
    </row>
    <row r="877" spans="3:15" ht="12.5" x14ac:dyDescent="0.25">
      <c r="C877" s="31"/>
      <c r="I877" s="43"/>
      <c r="J877" s="43"/>
      <c r="K877" s="43"/>
      <c r="N877" s="31"/>
      <c r="O877" s="43"/>
    </row>
    <row r="878" spans="3:15" ht="12.5" x14ac:dyDescent="0.25">
      <c r="C878" s="31"/>
      <c r="I878" s="43"/>
      <c r="J878" s="43"/>
      <c r="K878" s="43"/>
      <c r="N878" s="31"/>
      <c r="O878" s="43"/>
    </row>
    <row r="879" spans="3:15" ht="12.5" x14ac:dyDescent="0.25">
      <c r="C879" s="31"/>
      <c r="I879" s="43"/>
      <c r="J879" s="43"/>
      <c r="K879" s="43"/>
      <c r="N879" s="31"/>
      <c r="O879" s="43"/>
    </row>
    <row r="880" spans="3:15" ht="12.5" x14ac:dyDescent="0.25">
      <c r="C880" s="31"/>
      <c r="I880" s="43"/>
      <c r="J880" s="43"/>
      <c r="K880" s="43"/>
      <c r="N880" s="31"/>
      <c r="O880" s="43"/>
    </row>
    <row r="881" spans="3:15" ht="12.5" x14ac:dyDescent="0.25">
      <c r="C881" s="31"/>
      <c r="I881" s="43"/>
      <c r="J881" s="43"/>
      <c r="K881" s="43"/>
      <c r="N881" s="31"/>
      <c r="O881" s="43"/>
    </row>
    <row r="882" spans="3:15" ht="12.5" x14ac:dyDescent="0.25">
      <c r="C882" s="31"/>
      <c r="I882" s="43"/>
      <c r="J882" s="43"/>
      <c r="K882" s="43"/>
      <c r="N882" s="31"/>
      <c r="O882" s="43"/>
    </row>
    <row r="883" spans="3:15" ht="12.5" x14ac:dyDescent="0.25">
      <c r="C883" s="31"/>
      <c r="I883" s="43"/>
      <c r="J883" s="43"/>
      <c r="K883" s="43"/>
      <c r="N883" s="31"/>
      <c r="O883" s="43"/>
    </row>
    <row r="884" spans="3:15" ht="12.5" x14ac:dyDescent="0.25">
      <c r="C884" s="31"/>
      <c r="I884" s="43"/>
      <c r="J884" s="43"/>
      <c r="K884" s="43"/>
      <c r="N884" s="31"/>
      <c r="O884" s="43"/>
    </row>
    <row r="885" spans="3:15" ht="12.5" x14ac:dyDescent="0.25">
      <c r="C885" s="31"/>
      <c r="I885" s="43"/>
      <c r="J885" s="43"/>
      <c r="K885" s="43"/>
      <c r="N885" s="31"/>
      <c r="O885" s="43"/>
    </row>
    <row r="886" spans="3:15" ht="12.5" x14ac:dyDescent="0.25">
      <c r="C886" s="31"/>
      <c r="I886" s="43"/>
      <c r="J886" s="43"/>
      <c r="K886" s="43"/>
      <c r="N886" s="31"/>
      <c r="O886" s="43"/>
    </row>
    <row r="887" spans="3:15" ht="12.5" x14ac:dyDescent="0.25">
      <c r="C887" s="31"/>
      <c r="I887" s="43"/>
      <c r="J887" s="43"/>
      <c r="K887" s="43"/>
      <c r="N887" s="31"/>
      <c r="O887" s="43"/>
    </row>
    <row r="888" spans="3:15" ht="12.5" x14ac:dyDescent="0.25">
      <c r="C888" s="31"/>
      <c r="I888" s="43"/>
      <c r="J888" s="43"/>
      <c r="K888" s="43"/>
      <c r="N888" s="31"/>
      <c r="O888" s="43"/>
    </row>
    <row r="889" spans="3:15" ht="12.5" x14ac:dyDescent="0.25">
      <c r="C889" s="31"/>
      <c r="I889" s="43"/>
      <c r="J889" s="43"/>
      <c r="K889" s="43"/>
      <c r="N889" s="31"/>
      <c r="O889" s="43"/>
    </row>
    <row r="890" spans="3:15" ht="12.5" x14ac:dyDescent="0.25">
      <c r="C890" s="31"/>
      <c r="I890" s="43"/>
      <c r="J890" s="43"/>
      <c r="K890" s="43"/>
      <c r="N890" s="31"/>
      <c r="O890" s="43"/>
    </row>
    <row r="891" spans="3:15" ht="12.5" x14ac:dyDescent="0.25">
      <c r="C891" s="31"/>
      <c r="I891" s="43"/>
      <c r="J891" s="43"/>
      <c r="K891" s="43"/>
      <c r="N891" s="31"/>
      <c r="O891" s="43"/>
    </row>
    <row r="892" spans="3:15" ht="12.5" x14ac:dyDescent="0.25">
      <c r="C892" s="31"/>
      <c r="I892" s="43"/>
      <c r="J892" s="43"/>
      <c r="K892" s="43"/>
      <c r="N892" s="31"/>
      <c r="O892" s="43"/>
    </row>
    <row r="893" spans="3:15" ht="12.5" x14ac:dyDescent="0.25">
      <c r="C893" s="31"/>
      <c r="I893" s="43"/>
      <c r="J893" s="43"/>
      <c r="K893" s="43"/>
      <c r="N893" s="31"/>
      <c r="O893" s="43"/>
    </row>
    <row r="894" spans="3:15" ht="12.5" x14ac:dyDescent="0.25">
      <c r="C894" s="31"/>
      <c r="I894" s="43"/>
      <c r="J894" s="43"/>
      <c r="K894" s="43"/>
      <c r="N894" s="31"/>
      <c r="O894" s="43"/>
    </row>
    <row r="895" spans="3:15" ht="12.5" x14ac:dyDescent="0.25">
      <c r="C895" s="31"/>
      <c r="I895" s="43"/>
      <c r="J895" s="43"/>
      <c r="K895" s="43"/>
      <c r="N895" s="31"/>
      <c r="O895" s="43"/>
    </row>
    <row r="896" spans="3:15" ht="12.5" x14ac:dyDescent="0.25">
      <c r="C896" s="31"/>
      <c r="I896" s="43"/>
      <c r="J896" s="43"/>
      <c r="K896" s="43"/>
      <c r="N896" s="31"/>
      <c r="O896" s="43"/>
    </row>
    <row r="897" spans="3:15" ht="12.5" x14ac:dyDescent="0.25">
      <c r="C897" s="31"/>
      <c r="I897" s="43"/>
      <c r="J897" s="43"/>
      <c r="K897" s="43"/>
      <c r="N897" s="31"/>
      <c r="O897" s="43"/>
    </row>
    <row r="898" spans="3:15" ht="12.5" x14ac:dyDescent="0.25">
      <c r="C898" s="31"/>
      <c r="I898" s="43"/>
      <c r="J898" s="43"/>
      <c r="K898" s="43"/>
      <c r="N898" s="31"/>
      <c r="O898" s="43"/>
    </row>
    <row r="899" spans="3:15" ht="12.5" x14ac:dyDescent="0.25">
      <c r="C899" s="31"/>
      <c r="I899" s="43"/>
      <c r="J899" s="43"/>
      <c r="K899" s="43"/>
      <c r="N899" s="31"/>
      <c r="O899" s="43"/>
    </row>
    <row r="900" spans="3:15" ht="12.5" x14ac:dyDescent="0.25">
      <c r="C900" s="31"/>
      <c r="I900" s="43"/>
      <c r="J900" s="43"/>
      <c r="K900" s="43"/>
      <c r="N900" s="31"/>
      <c r="O900" s="43"/>
    </row>
    <row r="901" spans="3:15" ht="12.5" x14ac:dyDescent="0.25">
      <c r="C901" s="31"/>
      <c r="I901" s="43"/>
      <c r="J901" s="43"/>
      <c r="K901" s="43"/>
      <c r="N901" s="31"/>
      <c r="O901" s="43"/>
    </row>
    <row r="902" spans="3:15" ht="12.5" x14ac:dyDescent="0.25">
      <c r="C902" s="31"/>
      <c r="I902" s="43"/>
      <c r="J902" s="43"/>
      <c r="K902" s="43"/>
      <c r="N902" s="31"/>
      <c r="O902" s="43"/>
    </row>
    <row r="903" spans="3:15" ht="12.5" x14ac:dyDescent="0.25">
      <c r="C903" s="31"/>
      <c r="I903" s="43"/>
      <c r="J903" s="43"/>
      <c r="K903" s="43"/>
      <c r="N903" s="31"/>
      <c r="O903" s="43"/>
    </row>
    <row r="904" spans="3:15" ht="12.5" x14ac:dyDescent="0.25">
      <c r="C904" s="31"/>
      <c r="I904" s="43"/>
      <c r="J904" s="43"/>
      <c r="K904" s="43"/>
      <c r="N904" s="31"/>
      <c r="O904" s="43"/>
    </row>
    <row r="905" spans="3:15" ht="12.5" x14ac:dyDescent="0.25">
      <c r="C905" s="31"/>
      <c r="I905" s="43"/>
      <c r="J905" s="43"/>
      <c r="K905" s="43"/>
      <c r="N905" s="31"/>
      <c r="O905" s="43"/>
    </row>
    <row r="906" spans="3:15" ht="12.5" x14ac:dyDescent="0.25">
      <c r="C906" s="31"/>
      <c r="I906" s="43"/>
      <c r="J906" s="43"/>
      <c r="K906" s="43"/>
      <c r="N906" s="31"/>
      <c r="O906" s="43"/>
    </row>
    <row r="907" spans="3:15" ht="12.5" x14ac:dyDescent="0.25">
      <c r="C907" s="31"/>
      <c r="I907" s="43"/>
      <c r="J907" s="43"/>
      <c r="K907" s="43"/>
      <c r="N907" s="31"/>
      <c r="O907" s="43"/>
    </row>
    <row r="908" spans="3:15" ht="12.5" x14ac:dyDescent="0.25">
      <c r="C908" s="31"/>
      <c r="I908" s="43"/>
      <c r="J908" s="43"/>
      <c r="K908" s="43"/>
      <c r="N908" s="31"/>
      <c r="O908" s="43"/>
    </row>
    <row r="909" spans="3:15" ht="12.5" x14ac:dyDescent="0.25">
      <c r="C909" s="31"/>
      <c r="I909" s="43"/>
      <c r="J909" s="43"/>
      <c r="K909" s="43"/>
      <c r="N909" s="31"/>
      <c r="O909" s="43"/>
    </row>
    <row r="910" spans="3:15" ht="12.5" x14ac:dyDescent="0.25">
      <c r="C910" s="31"/>
      <c r="I910" s="43"/>
      <c r="J910" s="43"/>
      <c r="K910" s="43"/>
      <c r="N910" s="31"/>
      <c r="O910" s="43"/>
    </row>
    <row r="911" spans="3:15" ht="12.5" x14ac:dyDescent="0.25">
      <c r="C911" s="31"/>
      <c r="I911" s="43"/>
      <c r="J911" s="43"/>
      <c r="K911" s="43"/>
      <c r="N911" s="31"/>
      <c r="O911" s="43"/>
    </row>
    <row r="912" spans="3:15" ht="12.5" x14ac:dyDescent="0.25">
      <c r="C912" s="31"/>
      <c r="I912" s="43"/>
      <c r="J912" s="43"/>
      <c r="K912" s="43"/>
      <c r="N912" s="31"/>
      <c r="O912" s="43"/>
    </row>
    <row r="913" spans="3:15" ht="12.5" x14ac:dyDescent="0.25">
      <c r="C913" s="31"/>
      <c r="I913" s="43"/>
      <c r="J913" s="43"/>
      <c r="K913" s="43"/>
      <c r="N913" s="31"/>
      <c r="O913" s="43"/>
    </row>
    <row r="914" spans="3:15" ht="12.5" x14ac:dyDescent="0.25">
      <c r="C914" s="31"/>
      <c r="I914" s="43"/>
      <c r="J914" s="43"/>
      <c r="K914" s="43"/>
      <c r="N914" s="31"/>
      <c r="O914" s="43"/>
    </row>
    <row r="915" spans="3:15" ht="12.5" x14ac:dyDescent="0.25">
      <c r="C915" s="31"/>
      <c r="I915" s="43"/>
      <c r="J915" s="43"/>
      <c r="K915" s="43"/>
      <c r="N915" s="31"/>
      <c r="O915" s="43"/>
    </row>
    <row r="916" spans="3:15" ht="12.5" x14ac:dyDescent="0.25">
      <c r="C916" s="31"/>
      <c r="I916" s="43"/>
      <c r="J916" s="43"/>
      <c r="K916" s="43"/>
      <c r="N916" s="31"/>
      <c r="O916" s="43"/>
    </row>
    <row r="917" spans="3:15" ht="12.5" x14ac:dyDescent="0.25">
      <c r="C917" s="31"/>
      <c r="I917" s="43"/>
      <c r="J917" s="43"/>
      <c r="K917" s="43"/>
      <c r="N917" s="31"/>
      <c r="O917" s="43"/>
    </row>
    <row r="918" spans="3:15" ht="12.5" x14ac:dyDescent="0.25">
      <c r="C918" s="31"/>
      <c r="I918" s="43"/>
      <c r="J918" s="43"/>
      <c r="K918" s="43"/>
      <c r="N918" s="31"/>
      <c r="O918" s="43"/>
    </row>
    <row r="919" spans="3:15" ht="12.5" x14ac:dyDescent="0.25">
      <c r="C919" s="31"/>
      <c r="I919" s="43"/>
      <c r="J919" s="43"/>
      <c r="K919" s="43"/>
      <c r="N919" s="31"/>
      <c r="O919" s="43"/>
    </row>
    <row r="920" spans="3:15" ht="12.5" x14ac:dyDescent="0.25">
      <c r="C920" s="31"/>
      <c r="I920" s="43"/>
      <c r="J920" s="43"/>
      <c r="K920" s="43"/>
      <c r="N920" s="31"/>
      <c r="O920" s="43"/>
    </row>
    <row r="921" spans="3:15" ht="12.5" x14ac:dyDescent="0.25">
      <c r="C921" s="31"/>
      <c r="I921" s="43"/>
      <c r="J921" s="43"/>
      <c r="K921" s="43"/>
      <c r="N921" s="31"/>
      <c r="O921" s="43"/>
    </row>
    <row r="922" spans="3:15" ht="12.5" x14ac:dyDescent="0.25">
      <c r="C922" s="31"/>
      <c r="I922" s="43"/>
      <c r="J922" s="43"/>
      <c r="K922" s="43"/>
      <c r="N922" s="31"/>
      <c r="O922" s="43"/>
    </row>
    <row r="923" spans="3:15" ht="12.5" x14ac:dyDescent="0.25">
      <c r="C923" s="31"/>
      <c r="I923" s="43"/>
      <c r="J923" s="43"/>
      <c r="K923" s="43"/>
      <c r="N923" s="31"/>
      <c r="O923" s="43"/>
    </row>
    <row r="924" spans="3:15" ht="12.5" x14ac:dyDescent="0.25">
      <c r="C924" s="31"/>
      <c r="I924" s="43"/>
      <c r="J924" s="43"/>
      <c r="K924" s="43"/>
      <c r="N924" s="31"/>
      <c r="O924" s="43"/>
    </row>
    <row r="925" spans="3:15" ht="12.5" x14ac:dyDescent="0.25">
      <c r="C925" s="31"/>
      <c r="I925" s="43"/>
      <c r="J925" s="43"/>
      <c r="K925" s="43"/>
      <c r="N925" s="31"/>
      <c r="O925" s="43"/>
    </row>
    <row r="926" spans="3:15" ht="12.5" x14ac:dyDescent="0.25">
      <c r="C926" s="31"/>
      <c r="I926" s="43"/>
      <c r="J926" s="43"/>
      <c r="K926" s="43"/>
      <c r="N926" s="31"/>
      <c r="O926" s="43"/>
    </row>
    <row r="927" spans="3:15" ht="12.5" x14ac:dyDescent="0.25">
      <c r="C927" s="31"/>
      <c r="I927" s="43"/>
      <c r="J927" s="43"/>
      <c r="K927" s="43"/>
      <c r="N927" s="31"/>
      <c r="O927" s="43"/>
    </row>
    <row r="928" spans="3:15" ht="12.5" x14ac:dyDescent="0.25">
      <c r="C928" s="31"/>
      <c r="I928" s="43"/>
      <c r="J928" s="43"/>
      <c r="K928" s="43"/>
      <c r="N928" s="31"/>
      <c r="O928" s="43"/>
    </row>
    <row r="929" spans="3:15" ht="12.5" x14ac:dyDescent="0.25">
      <c r="C929" s="31"/>
      <c r="I929" s="43"/>
      <c r="J929" s="43"/>
      <c r="K929" s="43"/>
      <c r="N929" s="31"/>
      <c r="O929" s="43"/>
    </row>
    <row r="930" spans="3:15" ht="12.5" x14ac:dyDescent="0.25">
      <c r="C930" s="31"/>
      <c r="I930" s="43"/>
      <c r="J930" s="43"/>
      <c r="K930" s="43"/>
      <c r="N930" s="31"/>
      <c r="O930" s="43"/>
    </row>
    <row r="931" spans="3:15" ht="12.5" x14ac:dyDescent="0.25">
      <c r="C931" s="31"/>
      <c r="I931" s="43"/>
      <c r="J931" s="43"/>
      <c r="K931" s="43"/>
      <c r="N931" s="31"/>
      <c r="O931" s="43"/>
    </row>
    <row r="932" spans="3:15" ht="12.5" x14ac:dyDescent="0.25">
      <c r="C932" s="31"/>
      <c r="I932" s="43"/>
      <c r="J932" s="43"/>
      <c r="K932" s="43"/>
      <c r="N932" s="31"/>
      <c r="O932" s="43"/>
    </row>
    <row r="933" spans="3:15" ht="12.5" x14ac:dyDescent="0.25">
      <c r="C933" s="31"/>
      <c r="I933" s="43"/>
      <c r="J933" s="43"/>
      <c r="K933" s="43"/>
      <c r="N933" s="31"/>
      <c r="O933" s="43"/>
    </row>
    <row r="934" spans="3:15" ht="12.5" x14ac:dyDescent="0.25">
      <c r="C934" s="31"/>
      <c r="I934" s="43"/>
      <c r="J934" s="43"/>
      <c r="K934" s="43"/>
      <c r="N934" s="31"/>
      <c r="O934" s="43"/>
    </row>
    <row r="935" spans="3:15" ht="12.5" x14ac:dyDescent="0.25">
      <c r="C935" s="31"/>
      <c r="I935" s="43"/>
      <c r="J935" s="43"/>
      <c r="K935" s="43"/>
      <c r="N935" s="31"/>
      <c r="O935" s="43"/>
    </row>
    <row r="936" spans="3:15" ht="12.5" x14ac:dyDescent="0.25">
      <c r="C936" s="31"/>
      <c r="I936" s="43"/>
      <c r="J936" s="43"/>
      <c r="K936" s="43"/>
      <c r="N936" s="31"/>
      <c r="O936" s="43"/>
    </row>
    <row r="937" spans="3:15" ht="12.5" x14ac:dyDescent="0.25">
      <c r="C937" s="31"/>
      <c r="I937" s="43"/>
      <c r="J937" s="43"/>
      <c r="K937" s="43"/>
      <c r="N937" s="31"/>
      <c r="O937" s="43"/>
    </row>
    <row r="938" spans="3:15" ht="12.5" x14ac:dyDescent="0.25">
      <c r="C938" s="31"/>
      <c r="I938" s="43"/>
      <c r="J938" s="43"/>
      <c r="K938" s="43"/>
      <c r="N938" s="31"/>
      <c r="O938" s="43"/>
    </row>
    <row r="939" spans="3:15" ht="12.5" x14ac:dyDescent="0.25">
      <c r="C939" s="31"/>
      <c r="I939" s="43"/>
      <c r="J939" s="43"/>
      <c r="K939" s="43"/>
      <c r="N939" s="31"/>
      <c r="O939" s="43"/>
    </row>
    <row r="940" spans="3:15" ht="12.5" x14ac:dyDescent="0.25">
      <c r="C940" s="31"/>
      <c r="I940" s="43"/>
      <c r="J940" s="43"/>
      <c r="K940" s="43"/>
      <c r="N940" s="31"/>
      <c r="O940" s="43"/>
    </row>
    <row r="941" spans="3:15" ht="12.5" x14ac:dyDescent="0.25">
      <c r="C941" s="31"/>
      <c r="I941" s="43"/>
      <c r="J941" s="43"/>
      <c r="K941" s="43"/>
      <c r="N941" s="31"/>
      <c r="O941" s="43"/>
    </row>
    <row r="942" spans="3:15" ht="12.5" x14ac:dyDescent="0.25">
      <c r="C942" s="31"/>
      <c r="I942" s="43"/>
      <c r="J942" s="43"/>
      <c r="K942" s="43"/>
      <c r="N942" s="31"/>
      <c r="O942" s="43"/>
    </row>
    <row r="943" spans="3:15" ht="12.5" x14ac:dyDescent="0.25">
      <c r="C943" s="31"/>
      <c r="I943" s="43"/>
      <c r="J943" s="43"/>
      <c r="K943" s="43"/>
      <c r="N943" s="31"/>
      <c r="O943" s="43"/>
    </row>
    <row r="944" spans="3:15" ht="12.5" x14ac:dyDescent="0.25">
      <c r="C944" s="31"/>
      <c r="I944" s="43"/>
      <c r="J944" s="43"/>
      <c r="K944" s="43"/>
      <c r="N944" s="31"/>
      <c r="O944" s="43"/>
    </row>
    <row r="945" spans="3:15" ht="12.5" x14ac:dyDescent="0.25">
      <c r="C945" s="31"/>
      <c r="I945" s="43"/>
      <c r="J945" s="43"/>
      <c r="K945" s="43"/>
      <c r="N945" s="31"/>
      <c r="O945" s="43"/>
    </row>
    <row r="946" spans="3:15" ht="12.5" x14ac:dyDescent="0.25">
      <c r="C946" s="31"/>
      <c r="I946" s="43"/>
      <c r="J946" s="43"/>
      <c r="K946" s="43"/>
      <c r="N946" s="31"/>
      <c r="O946" s="43"/>
    </row>
    <row r="947" spans="3:15" ht="12.5" x14ac:dyDescent="0.25">
      <c r="C947" s="31"/>
      <c r="I947" s="43"/>
      <c r="J947" s="43"/>
      <c r="K947" s="43"/>
      <c r="N947" s="31"/>
      <c r="O947" s="43"/>
    </row>
    <row r="948" spans="3:15" ht="12.5" x14ac:dyDescent="0.25">
      <c r="C948" s="31"/>
      <c r="I948" s="43"/>
      <c r="J948" s="43"/>
      <c r="K948" s="43"/>
      <c r="N948" s="31"/>
      <c r="O948" s="43"/>
    </row>
    <row r="949" spans="3:15" ht="12.5" x14ac:dyDescent="0.25">
      <c r="C949" s="31"/>
      <c r="I949" s="43"/>
      <c r="J949" s="43"/>
      <c r="K949" s="43"/>
      <c r="N949" s="31"/>
      <c r="O949" s="43"/>
    </row>
    <row r="950" spans="3:15" ht="12.5" x14ac:dyDescent="0.25">
      <c r="C950" s="31"/>
      <c r="I950" s="43"/>
      <c r="J950" s="43"/>
      <c r="K950" s="43"/>
      <c r="N950" s="31"/>
      <c r="O950" s="43"/>
    </row>
    <row r="951" spans="3:15" ht="12.5" x14ac:dyDescent="0.25">
      <c r="C951" s="31"/>
      <c r="I951" s="43"/>
      <c r="J951" s="43"/>
      <c r="K951" s="43"/>
      <c r="N951" s="31"/>
      <c r="O951" s="43"/>
    </row>
    <row r="952" spans="3:15" ht="12.5" x14ac:dyDescent="0.25">
      <c r="C952" s="31"/>
      <c r="I952" s="43"/>
      <c r="J952" s="43"/>
      <c r="K952" s="43"/>
      <c r="N952" s="31"/>
      <c r="O952" s="43"/>
    </row>
    <row r="953" spans="3:15" ht="12.5" x14ac:dyDescent="0.25">
      <c r="C953" s="31"/>
      <c r="I953" s="43"/>
      <c r="J953" s="43"/>
      <c r="K953" s="43"/>
      <c r="N953" s="31"/>
      <c r="O953" s="43"/>
    </row>
    <row r="954" spans="3:15" ht="12.5" x14ac:dyDescent="0.25">
      <c r="C954" s="31"/>
      <c r="I954" s="43"/>
      <c r="J954" s="43"/>
      <c r="K954" s="43"/>
      <c r="N954" s="31"/>
      <c r="O954" s="43"/>
    </row>
    <row r="955" spans="3:15" ht="12.5" x14ac:dyDescent="0.25">
      <c r="C955" s="31"/>
      <c r="I955" s="43"/>
      <c r="J955" s="43"/>
      <c r="K955" s="43"/>
      <c r="N955" s="31"/>
      <c r="O955" s="43"/>
    </row>
    <row r="956" spans="3:15" ht="12.5" x14ac:dyDescent="0.25">
      <c r="C956" s="31"/>
      <c r="I956" s="43"/>
      <c r="J956" s="43"/>
      <c r="K956" s="43"/>
      <c r="N956" s="31"/>
      <c r="O956" s="43"/>
    </row>
    <row r="957" spans="3:15" ht="12.5" x14ac:dyDescent="0.25">
      <c r="C957" s="31"/>
      <c r="I957" s="43"/>
      <c r="J957" s="43"/>
      <c r="K957" s="43"/>
      <c r="N957" s="31"/>
      <c r="O957" s="43"/>
    </row>
    <row r="958" spans="3:15" ht="12.5" x14ac:dyDescent="0.25">
      <c r="C958" s="31"/>
      <c r="I958" s="43"/>
      <c r="J958" s="43"/>
      <c r="K958" s="43"/>
      <c r="N958" s="31"/>
      <c r="O958" s="43"/>
    </row>
    <row r="959" spans="3:15" ht="12.5" x14ac:dyDescent="0.25">
      <c r="C959" s="31"/>
      <c r="I959" s="43"/>
      <c r="J959" s="43"/>
      <c r="K959" s="43"/>
      <c r="N959" s="31"/>
      <c r="O959" s="43"/>
    </row>
    <row r="960" spans="3:15" ht="12.5" x14ac:dyDescent="0.25">
      <c r="C960" s="31"/>
      <c r="I960" s="43"/>
      <c r="J960" s="43"/>
      <c r="K960" s="43"/>
      <c r="N960" s="31"/>
      <c r="O960" s="43"/>
    </row>
    <row r="961" spans="3:15" ht="12.5" x14ac:dyDescent="0.25">
      <c r="C961" s="31"/>
      <c r="I961" s="43"/>
      <c r="J961" s="43"/>
      <c r="K961" s="43"/>
      <c r="N961" s="31"/>
      <c r="O961" s="43"/>
    </row>
    <row r="962" spans="3:15" ht="12.5" x14ac:dyDescent="0.25">
      <c r="C962" s="31"/>
      <c r="I962" s="43"/>
      <c r="J962" s="43"/>
      <c r="K962" s="43"/>
      <c r="N962" s="31"/>
      <c r="O962" s="43"/>
    </row>
    <row r="963" spans="3:15" ht="12.5" x14ac:dyDescent="0.25">
      <c r="C963" s="31"/>
      <c r="I963" s="43"/>
      <c r="J963" s="43"/>
      <c r="K963" s="43"/>
      <c r="N963" s="31"/>
      <c r="O963" s="43"/>
    </row>
    <row r="964" spans="3:15" ht="12.5" x14ac:dyDescent="0.25">
      <c r="C964" s="31"/>
      <c r="I964" s="43"/>
      <c r="J964" s="43"/>
      <c r="K964" s="43"/>
      <c r="N964" s="31"/>
      <c r="O964" s="43"/>
    </row>
    <row r="965" spans="3:15" ht="12.5" x14ac:dyDescent="0.25">
      <c r="C965" s="31"/>
      <c r="I965" s="43"/>
      <c r="J965" s="43"/>
      <c r="K965" s="43"/>
      <c r="N965" s="31"/>
      <c r="O965" s="43"/>
    </row>
    <row r="966" spans="3:15" ht="12.5" x14ac:dyDescent="0.25">
      <c r="C966" s="31"/>
      <c r="I966" s="43"/>
      <c r="J966" s="43"/>
      <c r="K966" s="43"/>
      <c r="N966" s="31"/>
      <c r="O966" s="43"/>
    </row>
    <row r="967" spans="3:15" ht="12.5" x14ac:dyDescent="0.25">
      <c r="C967" s="31"/>
      <c r="I967" s="43"/>
      <c r="J967" s="43"/>
      <c r="K967" s="43"/>
      <c r="N967" s="31"/>
      <c r="O967" s="43"/>
    </row>
    <row r="968" spans="3:15" ht="12.5" x14ac:dyDescent="0.25">
      <c r="C968" s="31"/>
      <c r="I968" s="43"/>
      <c r="J968" s="43"/>
      <c r="K968" s="43"/>
      <c r="N968" s="31"/>
      <c r="O968" s="43"/>
    </row>
    <row r="969" spans="3:15" ht="12.5" x14ac:dyDescent="0.25">
      <c r="C969" s="31"/>
      <c r="I969" s="43"/>
      <c r="J969" s="43"/>
      <c r="K969" s="43"/>
      <c r="N969" s="31"/>
      <c r="O969" s="43"/>
    </row>
    <row r="970" spans="3:15" ht="12.5" x14ac:dyDescent="0.25">
      <c r="C970" s="31"/>
      <c r="I970" s="43"/>
      <c r="J970" s="43"/>
      <c r="K970" s="43"/>
      <c r="N970" s="31"/>
      <c r="O970" s="43"/>
    </row>
    <row r="971" spans="3:15" ht="12.5" x14ac:dyDescent="0.25">
      <c r="C971" s="31"/>
      <c r="I971" s="43"/>
      <c r="J971" s="43"/>
      <c r="K971" s="43"/>
      <c r="N971" s="31"/>
      <c r="O971" s="43"/>
    </row>
    <row r="972" spans="3:15" ht="12.5" x14ac:dyDescent="0.25">
      <c r="C972" s="31"/>
      <c r="I972" s="43"/>
      <c r="J972" s="43"/>
      <c r="K972" s="43"/>
      <c r="N972" s="31"/>
      <c r="O972" s="43"/>
    </row>
    <row r="973" spans="3:15" ht="12.5" x14ac:dyDescent="0.25">
      <c r="C973" s="31"/>
      <c r="I973" s="43"/>
      <c r="J973" s="43"/>
      <c r="K973" s="43"/>
      <c r="N973" s="31"/>
      <c r="O973" s="43"/>
    </row>
    <row r="974" spans="3:15" ht="12.5" x14ac:dyDescent="0.25">
      <c r="C974" s="31"/>
      <c r="I974" s="43"/>
      <c r="J974" s="43"/>
      <c r="K974" s="43"/>
      <c r="N974" s="31"/>
      <c r="O974" s="43"/>
    </row>
    <row r="975" spans="3:15" ht="12.5" x14ac:dyDescent="0.25">
      <c r="C975" s="31"/>
      <c r="I975" s="43"/>
      <c r="J975" s="43"/>
      <c r="K975" s="43"/>
      <c r="N975" s="31"/>
      <c r="O975" s="43"/>
    </row>
    <row r="976" spans="3:15" ht="12.5" x14ac:dyDescent="0.25">
      <c r="C976" s="31"/>
      <c r="I976" s="43"/>
      <c r="J976" s="43"/>
      <c r="K976" s="43"/>
      <c r="N976" s="31"/>
      <c r="O976" s="43"/>
    </row>
    <row r="977" spans="3:15" ht="12.5" x14ac:dyDescent="0.25">
      <c r="C977" s="31"/>
      <c r="I977" s="43"/>
      <c r="J977" s="43"/>
      <c r="K977" s="43"/>
      <c r="N977" s="31"/>
      <c r="O977" s="43"/>
    </row>
  </sheetData>
  <mergeCells count="12">
    <mergeCell ref="A11:A16"/>
    <mergeCell ref="B2:K2"/>
    <mergeCell ref="B1:K1"/>
    <mergeCell ref="B3:K3"/>
    <mergeCell ref="B11:K16"/>
    <mergeCell ref="B4:K4"/>
    <mergeCell ref="B5:K5"/>
    <mergeCell ref="B7:K7"/>
    <mergeCell ref="B6:K6"/>
    <mergeCell ref="B10:K10"/>
    <mergeCell ref="B8:K8"/>
    <mergeCell ref="B9:K9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AD277-E8F5-4E85-82DA-D398BCED77F8}">
  <sheetPr>
    <outlinePr summaryBelow="0" summaryRight="0"/>
  </sheetPr>
  <dimension ref="A1:O978"/>
  <sheetViews>
    <sheetView tabSelected="1" topLeftCell="A58" workbookViewId="0">
      <selection activeCell="C67" sqref="C67"/>
    </sheetView>
  </sheetViews>
  <sheetFormatPr defaultColWidth="14.453125" defaultRowHeight="15.75" customHeight="1" x14ac:dyDescent="0.25"/>
  <cols>
    <col min="1" max="1" width="31.26953125" customWidth="1"/>
    <col min="2" max="2" width="37" customWidth="1"/>
    <col min="3" max="3" width="6.1796875" bestFit="1" customWidth="1"/>
    <col min="4" max="4" width="7.453125" customWidth="1"/>
    <col min="5" max="8" width="4.7265625" customWidth="1"/>
    <col min="9" max="11" width="13.81640625" customWidth="1"/>
    <col min="12" max="12" width="6.81640625" customWidth="1"/>
    <col min="13" max="13" width="29.1796875" customWidth="1"/>
    <col min="14" max="14" width="9.81640625" customWidth="1"/>
    <col min="15" max="15" width="19" customWidth="1"/>
  </cols>
  <sheetData>
    <row r="1" spans="1:15" ht="15.5" x14ac:dyDescent="0.35">
      <c r="A1" s="3" t="s">
        <v>1</v>
      </c>
      <c r="B1" s="144"/>
      <c r="C1" s="141"/>
      <c r="D1" s="141"/>
      <c r="E1" s="141"/>
      <c r="F1" s="141"/>
      <c r="G1" s="141"/>
      <c r="H1" s="141"/>
      <c r="I1" s="141"/>
      <c r="J1" s="141"/>
      <c r="K1" s="152"/>
      <c r="L1" s="5"/>
      <c r="M1" s="7" t="s">
        <v>6</v>
      </c>
      <c r="N1" s="9"/>
      <c r="O1" s="11">
        <f>SUM(O2:O7)</f>
        <v>29229.166666666668</v>
      </c>
    </row>
    <row r="2" spans="1:15" ht="15.75" customHeight="1" x14ac:dyDescent="0.35">
      <c r="A2" s="3" t="s">
        <v>9</v>
      </c>
      <c r="B2" s="144"/>
      <c r="C2" s="141"/>
      <c r="D2" s="141"/>
      <c r="E2" s="141"/>
      <c r="F2" s="141"/>
      <c r="G2" s="141"/>
      <c r="H2" s="141"/>
      <c r="I2" s="141"/>
      <c r="J2" s="141"/>
      <c r="K2" s="152"/>
      <c r="L2" s="5"/>
      <c r="M2" s="13" t="s">
        <v>12</v>
      </c>
      <c r="N2" s="14"/>
      <c r="O2" s="15">
        <f>K26</f>
        <v>0</v>
      </c>
    </row>
    <row r="3" spans="1:15" ht="15.75" customHeight="1" x14ac:dyDescent="0.35">
      <c r="A3" s="3" t="s">
        <v>13</v>
      </c>
      <c r="B3" s="144"/>
      <c r="C3" s="141"/>
      <c r="D3" s="141"/>
      <c r="E3" s="141"/>
      <c r="F3" s="141"/>
      <c r="G3" s="141"/>
      <c r="H3" s="141"/>
      <c r="I3" s="141"/>
      <c r="J3" s="141"/>
      <c r="K3" s="152"/>
      <c r="L3" s="5"/>
      <c r="M3" s="13" t="s">
        <v>15</v>
      </c>
      <c r="N3" s="14"/>
      <c r="O3" s="15">
        <f>K38</f>
        <v>29229.166666666668</v>
      </c>
    </row>
    <row r="4" spans="1:15" ht="15.75" customHeight="1" x14ac:dyDescent="0.35">
      <c r="A4" s="3" t="s">
        <v>16</v>
      </c>
      <c r="B4" s="145"/>
      <c r="C4" s="141"/>
      <c r="D4" s="141"/>
      <c r="E4" s="141"/>
      <c r="F4" s="141"/>
      <c r="G4" s="141"/>
      <c r="H4" s="141"/>
      <c r="I4" s="141"/>
      <c r="J4" s="141"/>
      <c r="K4" s="152"/>
      <c r="L4" s="5"/>
      <c r="M4" s="16" t="s">
        <v>18</v>
      </c>
      <c r="N4" s="14"/>
      <c r="O4" s="15">
        <f>K51</f>
        <v>0</v>
      </c>
    </row>
    <row r="5" spans="1:15" ht="15.75" customHeight="1" x14ac:dyDescent="0.35">
      <c r="A5" s="3" t="s">
        <v>19</v>
      </c>
      <c r="B5" s="145"/>
      <c r="C5" s="141"/>
      <c r="D5" s="141"/>
      <c r="E5" s="141"/>
      <c r="F5" s="141"/>
      <c r="G5" s="141"/>
      <c r="H5" s="141"/>
      <c r="I5" s="141"/>
      <c r="J5" s="141"/>
      <c r="K5" s="152"/>
      <c r="L5" s="5"/>
      <c r="M5" s="13" t="s">
        <v>20</v>
      </c>
      <c r="N5" s="14"/>
      <c r="O5" s="15">
        <f>K64</f>
        <v>0</v>
      </c>
    </row>
    <row r="6" spans="1:15" ht="15.75" customHeight="1" x14ac:dyDescent="0.35">
      <c r="A6" s="3" t="s">
        <v>22</v>
      </c>
      <c r="B6" s="145"/>
      <c r="C6" s="141"/>
      <c r="D6" s="141"/>
      <c r="E6" s="141"/>
      <c r="F6" s="141"/>
      <c r="G6" s="141"/>
      <c r="H6" s="141"/>
      <c r="I6" s="141"/>
      <c r="J6" s="141"/>
      <c r="K6" s="152"/>
      <c r="L6" s="5"/>
      <c r="M6" s="13"/>
      <c r="N6" s="14"/>
      <c r="O6" s="15"/>
    </row>
    <row r="7" spans="1:15" ht="15.75" customHeight="1" x14ac:dyDescent="0.35">
      <c r="A7" s="3" t="s">
        <v>24</v>
      </c>
      <c r="B7" s="145"/>
      <c r="C7" s="141"/>
      <c r="D7" s="141"/>
      <c r="E7" s="141"/>
      <c r="F7" s="141"/>
      <c r="G7" s="141"/>
      <c r="H7" s="141"/>
      <c r="I7" s="141"/>
      <c r="J7" s="141"/>
      <c r="K7" s="152"/>
      <c r="L7" s="5"/>
      <c r="M7" s="13" t="s">
        <v>27</v>
      </c>
      <c r="N7" s="14"/>
      <c r="O7" s="15">
        <f>K95</f>
        <v>0</v>
      </c>
    </row>
    <row r="8" spans="1:15" ht="15.75" customHeight="1" x14ac:dyDescent="0.35">
      <c r="A8" s="3" t="s">
        <v>22</v>
      </c>
      <c r="B8" s="145"/>
      <c r="C8" s="141"/>
      <c r="D8" s="141"/>
      <c r="E8" s="141"/>
      <c r="F8" s="141"/>
      <c r="G8" s="141"/>
      <c r="H8" s="141"/>
      <c r="I8" s="141"/>
      <c r="J8" s="141"/>
      <c r="K8" s="152"/>
      <c r="L8" s="5"/>
      <c r="M8" s="7" t="s">
        <v>31</v>
      </c>
      <c r="N8" s="36">
        <v>0.5</v>
      </c>
      <c r="O8" s="15">
        <f>N8*O1</f>
        <v>14614.583333333334</v>
      </c>
    </row>
    <row r="9" spans="1:15" ht="15.75" customHeight="1" x14ac:dyDescent="0.55000000000000004">
      <c r="A9" s="17" t="s">
        <v>35</v>
      </c>
      <c r="B9" s="145"/>
      <c r="C9" s="141"/>
      <c r="D9" s="141"/>
      <c r="E9" s="141"/>
      <c r="F9" s="141"/>
      <c r="G9" s="141"/>
      <c r="H9" s="141"/>
      <c r="I9" s="141"/>
      <c r="J9" s="141"/>
      <c r="K9" s="152"/>
      <c r="L9" s="5"/>
      <c r="M9" s="7" t="s">
        <v>37</v>
      </c>
      <c r="N9" s="18">
        <v>0.5</v>
      </c>
      <c r="O9" s="19">
        <f>N9*O1</f>
        <v>14614.583333333334</v>
      </c>
    </row>
    <row r="10" spans="1:15" ht="15.5" x14ac:dyDescent="0.35">
      <c r="A10" s="3" t="s">
        <v>40</v>
      </c>
      <c r="B10" s="145"/>
      <c r="C10" s="141"/>
      <c r="D10" s="141"/>
      <c r="E10" s="141"/>
      <c r="F10" s="141"/>
      <c r="G10" s="141"/>
      <c r="H10" s="141"/>
      <c r="I10" s="141"/>
      <c r="J10" s="141"/>
      <c r="K10" s="152"/>
      <c r="L10" s="5"/>
      <c r="M10" s="7" t="s">
        <v>41</v>
      </c>
      <c r="N10" s="14"/>
      <c r="O10" s="11">
        <f>O1+O8+O9</f>
        <v>58458.333333333336</v>
      </c>
    </row>
    <row r="11" spans="1:15" ht="15.75" customHeight="1" x14ac:dyDescent="0.35">
      <c r="A11" s="125" t="s">
        <v>42</v>
      </c>
      <c r="B11" s="128"/>
      <c r="C11" s="129"/>
      <c r="D11" s="129"/>
      <c r="E11" s="129"/>
      <c r="F11" s="129"/>
      <c r="G11" s="129"/>
      <c r="H11" s="129"/>
      <c r="I11" s="129"/>
      <c r="J11" s="129"/>
      <c r="K11" s="153"/>
      <c r="L11" s="5"/>
      <c r="M11" s="13" t="s">
        <v>44</v>
      </c>
      <c r="N11" s="18">
        <v>0</v>
      </c>
      <c r="O11" s="15">
        <f>N11*O10</f>
        <v>0</v>
      </c>
    </row>
    <row r="12" spans="1:15" ht="15.75" customHeight="1" x14ac:dyDescent="0.35">
      <c r="A12" s="126"/>
      <c r="B12" s="132"/>
      <c r="C12" s="133"/>
      <c r="D12" s="133"/>
      <c r="E12" s="133"/>
      <c r="F12" s="133"/>
      <c r="G12" s="133"/>
      <c r="H12" s="133"/>
      <c r="I12" s="133"/>
      <c r="J12" s="133"/>
      <c r="K12" s="154"/>
      <c r="L12" s="5"/>
      <c r="M12" s="13" t="s">
        <v>46</v>
      </c>
      <c r="N12" s="18">
        <v>0.05</v>
      </c>
      <c r="O12" s="15">
        <f>N12*O10</f>
        <v>2922.916666666667</v>
      </c>
    </row>
    <row r="13" spans="1:15" ht="15.75" customHeight="1" x14ac:dyDescent="0.45">
      <c r="A13" s="126"/>
      <c r="B13" s="132"/>
      <c r="C13" s="133"/>
      <c r="D13" s="133"/>
      <c r="E13" s="133"/>
      <c r="F13" s="133"/>
      <c r="G13" s="133"/>
      <c r="H13" s="133"/>
      <c r="I13" s="133"/>
      <c r="J13" s="133"/>
      <c r="K13" s="154"/>
      <c r="L13" s="5"/>
      <c r="M13" s="7" t="s">
        <v>47</v>
      </c>
      <c r="N13" s="20"/>
      <c r="O13" s="21">
        <f>SUM(O10:O12)</f>
        <v>61381.25</v>
      </c>
    </row>
    <row r="14" spans="1:15" ht="15.75" customHeight="1" x14ac:dyDescent="0.35">
      <c r="A14" s="126"/>
      <c r="B14" s="132"/>
      <c r="C14" s="133"/>
      <c r="D14" s="133"/>
      <c r="E14" s="133"/>
      <c r="F14" s="133"/>
      <c r="G14" s="133"/>
      <c r="H14" s="133"/>
      <c r="I14" s="133"/>
      <c r="J14" s="133"/>
      <c r="K14" s="154"/>
      <c r="L14" s="5"/>
      <c r="M14" s="13" t="s">
        <v>50</v>
      </c>
      <c r="N14" s="22">
        <v>4</v>
      </c>
      <c r="O14" s="23"/>
    </row>
    <row r="15" spans="1:15" ht="15.75" customHeight="1" x14ac:dyDescent="0.45">
      <c r="A15" s="126"/>
      <c r="B15" s="132"/>
      <c r="C15" s="133"/>
      <c r="D15" s="133"/>
      <c r="E15" s="133"/>
      <c r="F15" s="133"/>
      <c r="G15" s="133"/>
      <c r="H15" s="133"/>
      <c r="I15" s="133"/>
      <c r="J15" s="133"/>
      <c r="K15" s="154"/>
      <c r="L15" s="5"/>
      <c r="M15" s="7" t="s">
        <v>52</v>
      </c>
      <c r="N15" s="24" t="b">
        <v>0</v>
      </c>
      <c r="O15" s="21">
        <f>IF(N15=TRUE,ROUNDDOWN(O13,-N14),O13)</f>
        <v>61381.25</v>
      </c>
    </row>
    <row r="16" spans="1:15" ht="15.75" customHeight="1" x14ac:dyDescent="0.45">
      <c r="A16" s="127"/>
      <c r="B16" s="136"/>
      <c r="C16" s="137"/>
      <c r="D16" s="137"/>
      <c r="E16" s="137"/>
      <c r="F16" s="137"/>
      <c r="G16" s="137"/>
      <c r="H16" s="137"/>
      <c r="I16" s="137"/>
      <c r="J16" s="137"/>
      <c r="K16" s="155"/>
      <c r="L16" s="5"/>
      <c r="M16" s="23" t="s">
        <v>58</v>
      </c>
      <c r="N16" s="24" t="b">
        <v>0</v>
      </c>
      <c r="O16" s="21">
        <f>IF(N16=TRUE,O15*10%,0)</f>
        <v>0</v>
      </c>
    </row>
    <row r="17" spans="1:15" ht="15.75" customHeight="1" x14ac:dyDescent="0.45">
      <c r="A17" s="25"/>
      <c r="B17" s="25"/>
      <c r="C17" s="59"/>
      <c r="D17" s="25"/>
      <c r="E17" s="25"/>
      <c r="F17" s="25"/>
      <c r="G17" s="25"/>
      <c r="H17" s="25"/>
      <c r="I17" s="26"/>
      <c r="J17" s="26"/>
      <c r="K17" s="26"/>
      <c r="L17" s="5"/>
      <c r="M17" s="7" t="s">
        <v>61</v>
      </c>
      <c r="N17" s="27"/>
      <c r="O17" s="28">
        <f>SUM(O15:O16)</f>
        <v>61381.25</v>
      </c>
    </row>
    <row r="18" spans="1:15" ht="14.5" x14ac:dyDescent="0.35">
      <c r="A18" s="29" t="s">
        <v>63</v>
      </c>
      <c r="B18" s="25"/>
      <c r="C18" s="59"/>
      <c r="D18" s="25"/>
      <c r="E18" s="25"/>
      <c r="F18" s="25"/>
      <c r="G18" s="25"/>
      <c r="H18" s="25"/>
      <c r="I18" s="26"/>
      <c r="J18" s="26"/>
      <c r="K18" s="26"/>
      <c r="L18" s="5"/>
      <c r="N18" s="31"/>
    </row>
    <row r="19" spans="1:15" ht="15.75" customHeight="1" x14ac:dyDescent="0.35">
      <c r="A19" s="32" t="s">
        <v>64</v>
      </c>
      <c r="B19" s="25"/>
      <c r="C19" s="59"/>
      <c r="D19" s="25"/>
      <c r="E19" s="25"/>
      <c r="F19" s="25"/>
      <c r="G19" s="25"/>
      <c r="H19" s="25"/>
      <c r="I19" s="26"/>
      <c r="J19" s="26"/>
      <c r="K19" s="26"/>
      <c r="L19" s="5"/>
      <c r="M19" s="61" t="s">
        <v>221</v>
      </c>
      <c r="N19" s="148"/>
      <c r="O19" s="148"/>
    </row>
    <row r="20" spans="1:15" ht="15.75" customHeight="1" x14ac:dyDescent="0.35">
      <c r="A20" s="5" t="s">
        <v>70</v>
      </c>
      <c r="B20" s="5"/>
      <c r="C20" s="120">
        <v>0</v>
      </c>
      <c r="D20" s="5" t="s">
        <v>71</v>
      </c>
      <c r="E20" s="5"/>
      <c r="F20" s="5"/>
      <c r="G20" s="5"/>
      <c r="H20" s="5"/>
      <c r="I20" s="6"/>
      <c r="J20" s="6"/>
      <c r="K20" s="6"/>
      <c r="L20" s="5"/>
      <c r="M20" s="121" t="s">
        <v>222</v>
      </c>
      <c r="N20" s="157"/>
      <c r="O20" s="157"/>
    </row>
    <row r="21" spans="1:15" ht="15.75" customHeight="1" x14ac:dyDescent="0.35">
      <c r="A21" s="5" t="s">
        <v>73</v>
      </c>
      <c r="B21" s="5"/>
      <c r="C21" s="38">
        <f>C20*2</f>
        <v>0</v>
      </c>
      <c r="D21" s="5" t="s">
        <v>71</v>
      </c>
      <c r="E21" s="5"/>
      <c r="F21" s="5"/>
      <c r="G21" s="5"/>
      <c r="H21" s="5"/>
      <c r="I21" s="6"/>
      <c r="J21" s="6"/>
      <c r="K21" s="6"/>
      <c r="L21" s="5"/>
      <c r="M21" s="62" t="s">
        <v>40</v>
      </c>
      <c r="N21" s="149"/>
      <c r="O21" s="149"/>
    </row>
    <row r="22" spans="1:15" ht="15.75" customHeight="1" x14ac:dyDescent="0.35">
      <c r="A22" s="5" t="s">
        <v>74</v>
      </c>
      <c r="B22" s="5"/>
      <c r="C22" s="120">
        <v>0</v>
      </c>
      <c r="D22" s="5" t="s">
        <v>75</v>
      </c>
      <c r="E22" s="5"/>
      <c r="F22" s="5"/>
      <c r="G22" s="5"/>
      <c r="H22" s="5"/>
      <c r="I22" s="6"/>
      <c r="J22" s="6"/>
      <c r="K22" s="6"/>
      <c r="L22" s="5"/>
      <c r="M22" s="62" t="s">
        <v>223</v>
      </c>
      <c r="N22" s="151"/>
      <c r="O22" s="151"/>
    </row>
    <row r="23" spans="1:15" ht="15.75" customHeight="1" x14ac:dyDescent="0.35">
      <c r="A23" s="5" t="s">
        <v>349</v>
      </c>
      <c r="B23" s="5"/>
      <c r="C23" s="120">
        <v>0</v>
      </c>
      <c r="D23" s="5"/>
      <c r="E23" s="5"/>
      <c r="F23" s="5"/>
      <c r="G23" s="5"/>
      <c r="H23" s="5"/>
      <c r="I23" s="6"/>
      <c r="J23" s="6"/>
      <c r="K23" s="6"/>
      <c r="L23" s="5"/>
      <c r="M23" s="62" t="s">
        <v>136</v>
      </c>
      <c r="N23" s="146"/>
      <c r="O23" s="146"/>
    </row>
    <row r="24" spans="1:15" ht="15.75" customHeight="1" x14ac:dyDescent="0.35">
      <c r="A24" s="5"/>
      <c r="B24" s="5"/>
      <c r="C24" s="38"/>
      <c r="D24" s="5"/>
      <c r="E24" s="5"/>
      <c r="F24" s="5"/>
      <c r="G24" s="5"/>
      <c r="H24" s="5"/>
      <c r="I24" s="6"/>
      <c r="J24" s="6"/>
      <c r="K24" s="6"/>
      <c r="L24" s="5"/>
      <c r="M24" s="62" t="s">
        <v>224</v>
      </c>
      <c r="N24" s="146"/>
      <c r="O24" s="146"/>
    </row>
    <row r="25" spans="1:15" ht="14.5" x14ac:dyDescent="0.35">
      <c r="A25" s="40" t="s">
        <v>84</v>
      </c>
      <c r="B25" s="25"/>
      <c r="C25" s="59"/>
      <c r="D25" s="25"/>
      <c r="E25" s="25"/>
      <c r="F25" s="25"/>
      <c r="G25" s="25"/>
      <c r="H25" s="25"/>
      <c r="I25" s="26"/>
      <c r="J25" s="26"/>
      <c r="K25" s="26"/>
      <c r="L25" s="5"/>
      <c r="M25" s="123" t="s">
        <v>350</v>
      </c>
      <c r="N25" s="156">
        <f>30/100*O17</f>
        <v>18414.375</v>
      </c>
      <c r="O25" s="156"/>
    </row>
    <row r="26" spans="1:15" ht="14.5" x14ac:dyDescent="0.35">
      <c r="A26" s="44" t="s">
        <v>12</v>
      </c>
      <c r="B26" s="25" t="s">
        <v>91</v>
      </c>
      <c r="C26" s="59"/>
      <c r="D26" s="25"/>
      <c r="E26" s="25"/>
      <c r="F26" s="25"/>
      <c r="G26" s="25"/>
      <c r="H26" s="25"/>
      <c r="I26" s="6" t="s">
        <v>92</v>
      </c>
      <c r="J26" s="6"/>
      <c r="K26" s="6">
        <f>SUM(J27:J34)</f>
        <v>0</v>
      </c>
      <c r="L26" s="5"/>
      <c r="M26" s="124" t="s">
        <v>351</v>
      </c>
      <c r="N26" s="156">
        <f>O17+N25</f>
        <v>79795.625</v>
      </c>
      <c r="O26" s="156"/>
    </row>
    <row r="27" spans="1:15" ht="14.5" x14ac:dyDescent="0.35">
      <c r="A27" s="5" t="s">
        <v>93</v>
      </c>
      <c r="B27" s="5" t="s">
        <v>94</v>
      </c>
      <c r="C27" s="38">
        <v>0</v>
      </c>
      <c r="D27" s="5" t="s">
        <v>95</v>
      </c>
      <c r="E27" s="38">
        <f>C21</f>
        <v>0</v>
      </c>
      <c r="F27" s="5" t="s">
        <v>11</v>
      </c>
      <c r="G27" s="5"/>
      <c r="H27" s="5"/>
      <c r="I27" s="6">
        <f>'PH Umum 2024'!F1</f>
        <v>2100</v>
      </c>
      <c r="J27" s="6">
        <f t="shared" ref="J27:J34" si="0">C27*E27*I27</f>
        <v>0</v>
      </c>
      <c r="K27" s="6"/>
      <c r="L27" s="5"/>
      <c r="M27" s="5"/>
      <c r="N27" s="38"/>
      <c r="O27" s="6"/>
    </row>
    <row r="28" spans="1:15" ht="14.5" x14ac:dyDescent="0.35">
      <c r="A28" s="5"/>
      <c r="B28" s="5" t="s">
        <v>17</v>
      </c>
      <c r="C28" s="120">
        <v>1</v>
      </c>
      <c r="D28" s="5" t="s">
        <v>95</v>
      </c>
      <c r="E28" s="38">
        <f>C21</f>
        <v>0</v>
      </c>
      <c r="F28" s="5" t="s">
        <v>11</v>
      </c>
      <c r="G28" s="5"/>
      <c r="H28" s="5"/>
      <c r="I28" s="6">
        <f>'PH Umum 2024'!F13</f>
        <v>600</v>
      </c>
      <c r="J28" s="6">
        <f t="shared" si="0"/>
        <v>0</v>
      </c>
      <c r="K28" s="6"/>
      <c r="L28" s="5"/>
      <c r="M28" s="5"/>
      <c r="N28" s="42"/>
      <c r="O28" s="43"/>
    </row>
    <row r="29" spans="1:15" ht="14.5" x14ac:dyDescent="0.35">
      <c r="A29" s="5" t="s">
        <v>96</v>
      </c>
      <c r="B29" s="5" t="s">
        <v>94</v>
      </c>
      <c r="C29" s="122">
        <v>0</v>
      </c>
      <c r="D29" s="5" t="s">
        <v>95</v>
      </c>
      <c r="E29" s="38">
        <f>C21</f>
        <v>0</v>
      </c>
      <c r="F29" s="5" t="s">
        <v>11</v>
      </c>
      <c r="G29" s="5"/>
      <c r="H29" s="5"/>
      <c r="I29" s="6">
        <f>'PH Umum 2024'!F1</f>
        <v>2100</v>
      </c>
      <c r="J29" s="6">
        <f t="shared" si="0"/>
        <v>0</v>
      </c>
      <c r="K29" s="6"/>
      <c r="L29" s="5"/>
      <c r="M29" s="5"/>
      <c r="N29" s="38"/>
      <c r="O29" s="8"/>
    </row>
    <row r="30" spans="1:15" ht="14.5" x14ac:dyDescent="0.35">
      <c r="A30" s="5"/>
      <c r="B30" s="5" t="s">
        <v>17</v>
      </c>
      <c r="C30" s="38">
        <v>0</v>
      </c>
      <c r="D30" s="5" t="s">
        <v>95</v>
      </c>
      <c r="E30" s="38">
        <f>C21</f>
        <v>0</v>
      </c>
      <c r="F30" s="5" t="s">
        <v>11</v>
      </c>
      <c r="G30" s="5"/>
      <c r="H30" s="5"/>
      <c r="I30" s="6">
        <f>'PH Umum 2024'!F13</f>
        <v>600</v>
      </c>
      <c r="J30" s="6">
        <f t="shared" si="0"/>
        <v>0</v>
      </c>
      <c r="K30" s="6"/>
      <c r="L30" s="5"/>
      <c r="M30" s="5"/>
      <c r="N30" s="38"/>
      <c r="O30" s="6"/>
    </row>
    <row r="31" spans="1:15" ht="14.5" x14ac:dyDescent="0.35">
      <c r="A31" s="5" t="s">
        <v>98</v>
      </c>
      <c r="B31" s="5" t="s">
        <v>94</v>
      </c>
      <c r="C31" s="38">
        <v>0</v>
      </c>
      <c r="D31" s="5" t="s">
        <v>95</v>
      </c>
      <c r="E31" s="38">
        <f>C21</f>
        <v>0</v>
      </c>
      <c r="F31" s="5" t="s">
        <v>11</v>
      </c>
      <c r="G31" s="5"/>
      <c r="H31" s="5"/>
      <c r="I31" s="6">
        <f>'PH Umum 2024'!F1</f>
        <v>2100</v>
      </c>
      <c r="J31" s="6">
        <f t="shared" si="0"/>
        <v>0</v>
      </c>
      <c r="K31" s="6"/>
      <c r="L31" s="5"/>
      <c r="M31" s="5"/>
      <c r="N31" s="42"/>
      <c r="O31" s="43"/>
    </row>
    <row r="32" spans="1:15" ht="14.5" x14ac:dyDescent="0.35">
      <c r="A32" s="5"/>
      <c r="B32" s="5" t="s">
        <v>17</v>
      </c>
      <c r="C32" s="38">
        <v>0</v>
      </c>
      <c r="D32" s="5" t="s">
        <v>95</v>
      </c>
      <c r="E32" s="38">
        <f>C21</f>
        <v>0</v>
      </c>
      <c r="F32" s="5" t="s">
        <v>11</v>
      </c>
      <c r="G32" s="5"/>
      <c r="H32" s="5"/>
      <c r="I32" s="6">
        <f>'PH Umum 2024'!F13</f>
        <v>600</v>
      </c>
      <c r="J32" s="6">
        <f t="shared" si="0"/>
        <v>0</v>
      </c>
      <c r="K32" s="6"/>
      <c r="L32" s="5"/>
      <c r="M32" s="5"/>
      <c r="N32" s="38"/>
      <c r="O32" s="8"/>
    </row>
    <row r="33" spans="1:15" ht="14.5" x14ac:dyDescent="0.35">
      <c r="A33" s="5" t="s">
        <v>99</v>
      </c>
      <c r="B33" s="5" t="s">
        <v>94</v>
      </c>
      <c r="C33" s="38">
        <v>0</v>
      </c>
      <c r="D33" s="5" t="s">
        <v>95</v>
      </c>
      <c r="E33" s="38">
        <f>C21</f>
        <v>0</v>
      </c>
      <c r="F33" s="5" t="s">
        <v>11</v>
      </c>
      <c r="G33" s="5"/>
      <c r="H33" s="5"/>
      <c r="I33" s="6">
        <f>'PH Umum 2024'!F1</f>
        <v>2100</v>
      </c>
      <c r="J33" s="6">
        <f t="shared" si="0"/>
        <v>0</v>
      </c>
      <c r="K33" s="6"/>
      <c r="L33" s="5"/>
      <c r="N33" s="31"/>
    </row>
    <row r="34" spans="1:15" ht="14.5" x14ac:dyDescent="0.35">
      <c r="A34" s="5"/>
      <c r="B34" s="5" t="s">
        <v>17</v>
      </c>
      <c r="C34" s="122">
        <v>0</v>
      </c>
      <c r="D34" s="5" t="s">
        <v>95</v>
      </c>
      <c r="E34" s="38">
        <f>C21</f>
        <v>0</v>
      </c>
      <c r="F34" s="5" t="s">
        <v>11</v>
      </c>
      <c r="G34" s="5"/>
      <c r="H34" s="5"/>
      <c r="I34" s="6">
        <f>'PH Umum 2024'!F13</f>
        <v>600</v>
      </c>
      <c r="J34" s="6">
        <f t="shared" si="0"/>
        <v>0</v>
      </c>
      <c r="K34" s="6"/>
      <c r="L34" s="5"/>
      <c r="N34" s="31"/>
    </row>
    <row r="35" spans="1:15" ht="14.5" x14ac:dyDescent="0.35">
      <c r="A35" s="5"/>
      <c r="B35" s="5"/>
      <c r="C35" s="38"/>
      <c r="D35" s="5"/>
      <c r="E35" s="5"/>
      <c r="F35" s="5"/>
      <c r="G35" s="5"/>
      <c r="H35" s="5"/>
      <c r="I35" s="6"/>
      <c r="J35" s="6"/>
      <c r="K35" s="6"/>
      <c r="L35" s="5"/>
      <c r="N35" s="31"/>
    </row>
    <row r="36" spans="1:15" ht="14.5" x14ac:dyDescent="0.35">
      <c r="A36" s="5"/>
      <c r="B36" s="5"/>
      <c r="C36" s="38"/>
      <c r="D36" s="5"/>
      <c r="E36" s="5"/>
      <c r="F36" s="5"/>
      <c r="G36" s="5"/>
      <c r="H36" s="5"/>
      <c r="I36" s="6"/>
      <c r="J36" s="6"/>
      <c r="K36" s="6"/>
      <c r="L36" s="5"/>
      <c r="N36" s="31"/>
    </row>
    <row r="37" spans="1:15" ht="14.5" x14ac:dyDescent="0.35">
      <c r="A37" s="5"/>
      <c r="B37" s="5"/>
      <c r="C37" s="38"/>
      <c r="D37" s="5"/>
      <c r="E37" s="5"/>
      <c r="F37" s="5"/>
      <c r="G37" s="5"/>
      <c r="H37" s="5"/>
      <c r="I37" s="6"/>
      <c r="J37" s="6"/>
      <c r="K37" s="6"/>
      <c r="L37" s="5"/>
      <c r="N37" s="31"/>
    </row>
    <row r="38" spans="1:15" ht="14.5" x14ac:dyDescent="0.35">
      <c r="A38" s="46" t="s">
        <v>15</v>
      </c>
      <c r="B38" s="5" t="s">
        <v>91</v>
      </c>
      <c r="C38" s="38"/>
      <c r="D38" s="5"/>
      <c r="E38" s="5"/>
      <c r="F38" s="5"/>
      <c r="G38" s="5"/>
      <c r="H38" s="5"/>
      <c r="I38" s="6" t="s">
        <v>92</v>
      </c>
      <c r="J38" s="6"/>
      <c r="K38" s="6">
        <f>SUM(J39:J47)</f>
        <v>29229.166666666668</v>
      </c>
      <c r="L38" s="5"/>
      <c r="N38" s="31"/>
    </row>
    <row r="39" spans="1:15" ht="14.5" x14ac:dyDescent="0.35">
      <c r="A39" s="5" t="s">
        <v>93</v>
      </c>
      <c r="B39" s="5" t="s">
        <v>94</v>
      </c>
      <c r="C39" s="38">
        <v>0</v>
      </c>
      <c r="D39" s="5" t="s">
        <v>95</v>
      </c>
      <c r="E39" s="38">
        <v>0</v>
      </c>
      <c r="F39" s="5" t="s">
        <v>100</v>
      </c>
      <c r="G39" s="38">
        <v>0</v>
      </c>
      <c r="H39" s="5" t="s">
        <v>49</v>
      </c>
      <c r="I39" s="6">
        <f>'PH Umum 2024'!F25</f>
        <v>29229.166666666668</v>
      </c>
      <c r="J39" s="6">
        <f t="shared" ref="J39:J46" si="1">C39*E39*G39*I39</f>
        <v>0</v>
      </c>
      <c r="K39" s="6"/>
      <c r="L39" s="5"/>
      <c r="N39" s="31"/>
    </row>
    <row r="40" spans="1:15" ht="14.5" x14ac:dyDescent="0.35">
      <c r="A40" s="5"/>
      <c r="B40" s="5" t="s">
        <v>17</v>
      </c>
      <c r="C40" s="120">
        <v>1</v>
      </c>
      <c r="D40" s="5" t="s">
        <v>95</v>
      </c>
      <c r="E40" s="120">
        <v>1</v>
      </c>
      <c r="F40" s="5" t="s">
        <v>100</v>
      </c>
      <c r="G40" s="120">
        <v>1</v>
      </c>
      <c r="H40" s="5" t="s">
        <v>49</v>
      </c>
      <c r="I40" s="6">
        <f>'PH Umum 2024'!F25</f>
        <v>29229.166666666668</v>
      </c>
      <c r="J40" s="6">
        <f t="shared" si="1"/>
        <v>29229.166666666668</v>
      </c>
      <c r="K40" s="6"/>
      <c r="L40" s="5"/>
      <c r="N40" s="31"/>
    </row>
    <row r="41" spans="1:15" ht="14.5" x14ac:dyDescent="0.35">
      <c r="A41" s="5" t="s">
        <v>96</v>
      </c>
      <c r="B41" s="5" t="s">
        <v>94</v>
      </c>
      <c r="C41" s="122">
        <v>0</v>
      </c>
      <c r="D41" s="5" t="s">
        <v>95</v>
      </c>
      <c r="E41" s="120">
        <v>0</v>
      </c>
      <c r="F41" s="5" t="s">
        <v>100</v>
      </c>
      <c r="G41" s="120">
        <v>8</v>
      </c>
      <c r="H41" s="5" t="s">
        <v>49</v>
      </c>
      <c r="I41" s="6">
        <f>'PH Umum 2024'!F37</f>
        <v>28903.645833333332</v>
      </c>
      <c r="J41" s="6">
        <f t="shared" si="1"/>
        <v>0</v>
      </c>
      <c r="K41" s="6"/>
      <c r="L41" s="5"/>
      <c r="N41" s="31"/>
    </row>
    <row r="42" spans="1:15" ht="14.5" x14ac:dyDescent="0.35">
      <c r="A42" s="5"/>
      <c r="B42" s="5" t="s">
        <v>17</v>
      </c>
      <c r="C42" s="38">
        <v>0</v>
      </c>
      <c r="D42" s="5" t="s">
        <v>95</v>
      </c>
      <c r="E42" s="38">
        <v>0</v>
      </c>
      <c r="F42" s="5" t="s">
        <v>100</v>
      </c>
      <c r="G42" s="38">
        <v>0</v>
      </c>
      <c r="H42" s="5" t="s">
        <v>49</v>
      </c>
      <c r="I42" s="6">
        <f>'PH Umum 2024'!F37</f>
        <v>28903.645833333332</v>
      </c>
      <c r="J42" s="6">
        <f t="shared" si="1"/>
        <v>0</v>
      </c>
      <c r="K42" s="6"/>
      <c r="L42" s="5"/>
      <c r="N42" s="31"/>
    </row>
    <row r="43" spans="1:15" ht="14.5" x14ac:dyDescent="0.35">
      <c r="A43" s="5" t="s">
        <v>98</v>
      </c>
      <c r="B43" s="5" t="s">
        <v>94</v>
      </c>
      <c r="C43" s="38">
        <v>0</v>
      </c>
      <c r="D43" s="5" t="s">
        <v>95</v>
      </c>
      <c r="E43" s="38">
        <v>0</v>
      </c>
      <c r="F43" s="5" t="s">
        <v>100</v>
      </c>
      <c r="G43" s="38">
        <v>0</v>
      </c>
      <c r="H43" s="5" t="s">
        <v>49</v>
      </c>
      <c r="I43" s="6">
        <f>'PH Umum 2024'!F49</f>
        <v>29451.822916666664</v>
      </c>
      <c r="J43" s="6">
        <f t="shared" si="1"/>
        <v>0</v>
      </c>
      <c r="K43" s="6"/>
      <c r="L43" s="5"/>
      <c r="N43" s="31"/>
    </row>
    <row r="44" spans="1:15" ht="14.5" x14ac:dyDescent="0.35">
      <c r="A44" s="5"/>
      <c r="B44" s="5" t="s">
        <v>17</v>
      </c>
      <c r="C44" s="38">
        <v>0</v>
      </c>
      <c r="D44" s="5" t="s">
        <v>95</v>
      </c>
      <c r="E44" s="38">
        <v>0</v>
      </c>
      <c r="F44" s="5" t="s">
        <v>100</v>
      </c>
      <c r="G44" s="38">
        <v>0</v>
      </c>
      <c r="H44" s="5" t="s">
        <v>49</v>
      </c>
      <c r="I44" s="6">
        <f>'PH Umum 2024'!F49</f>
        <v>29451.822916666664</v>
      </c>
      <c r="J44" s="6">
        <f t="shared" si="1"/>
        <v>0</v>
      </c>
      <c r="K44" s="6"/>
      <c r="L44" s="5"/>
      <c r="N44" s="31"/>
    </row>
    <row r="45" spans="1:15" ht="14.5" x14ac:dyDescent="0.35">
      <c r="A45" s="5" t="s">
        <v>99</v>
      </c>
      <c r="B45" s="5" t="s">
        <v>94</v>
      </c>
      <c r="C45" s="38">
        <v>0</v>
      </c>
      <c r="D45" s="5" t="s">
        <v>95</v>
      </c>
      <c r="E45" s="38">
        <v>1</v>
      </c>
      <c r="F45" s="5" t="s">
        <v>100</v>
      </c>
      <c r="G45" s="38">
        <v>1</v>
      </c>
      <c r="H45" s="5" t="s">
        <v>49</v>
      </c>
      <c r="I45" s="6">
        <f>'PH Umum 2024'!F61</f>
        <v>28945.3125</v>
      </c>
      <c r="J45" s="6">
        <f t="shared" si="1"/>
        <v>0</v>
      </c>
      <c r="K45" s="6"/>
      <c r="L45" s="5"/>
      <c r="N45" s="31"/>
    </row>
    <row r="46" spans="1:15" ht="14.5" x14ac:dyDescent="0.35">
      <c r="A46" s="5"/>
      <c r="B46" s="5" t="s">
        <v>17</v>
      </c>
      <c r="C46" s="122">
        <v>0</v>
      </c>
      <c r="D46" s="5" t="s">
        <v>95</v>
      </c>
      <c r="E46" s="120">
        <v>1</v>
      </c>
      <c r="F46" s="5" t="s">
        <v>100</v>
      </c>
      <c r="G46" s="120">
        <v>1</v>
      </c>
      <c r="H46" s="5" t="s">
        <v>49</v>
      </c>
      <c r="I46" s="6">
        <f>'PH Umum 2024'!F61</f>
        <v>28945.3125</v>
      </c>
      <c r="J46" s="6">
        <f t="shared" si="1"/>
        <v>0</v>
      </c>
      <c r="K46" s="6"/>
      <c r="L46" s="5"/>
      <c r="N46" s="31"/>
    </row>
    <row r="47" spans="1:15" ht="14.5" x14ac:dyDescent="0.35">
      <c r="A47" s="5" t="s">
        <v>53</v>
      </c>
      <c r="B47" s="5"/>
      <c r="C47" s="38"/>
      <c r="D47" s="5"/>
      <c r="E47" s="38">
        <v>0</v>
      </c>
      <c r="F47" s="5" t="s">
        <v>100</v>
      </c>
      <c r="G47" s="5"/>
      <c r="H47" s="5"/>
      <c r="I47" s="6">
        <v>2200000</v>
      </c>
      <c r="J47" s="6">
        <f>E47*I47</f>
        <v>0</v>
      </c>
      <c r="K47" s="6"/>
      <c r="L47" s="5"/>
      <c r="M47" s="5"/>
      <c r="N47" s="38"/>
      <c r="O47" s="6"/>
    </row>
    <row r="48" spans="1:15" ht="14.5" x14ac:dyDescent="0.35">
      <c r="A48" s="5"/>
      <c r="B48" s="5"/>
      <c r="C48" s="38"/>
      <c r="D48" s="5"/>
      <c r="E48" s="5"/>
      <c r="F48" s="5"/>
      <c r="G48" s="5"/>
      <c r="H48" s="5"/>
      <c r="I48" s="6"/>
      <c r="J48" s="6"/>
      <c r="K48" s="6"/>
      <c r="L48" s="5"/>
      <c r="M48" s="5"/>
      <c r="N48" s="38"/>
      <c r="O48" s="6"/>
    </row>
    <row r="49" spans="1:15" ht="14.5" x14ac:dyDescent="0.35">
      <c r="A49" s="5"/>
      <c r="B49" s="5"/>
      <c r="C49" s="38"/>
      <c r="D49" s="5"/>
      <c r="E49" s="5"/>
      <c r="F49" s="5"/>
      <c r="G49" s="5"/>
      <c r="H49" s="5"/>
      <c r="I49" s="6"/>
      <c r="J49" s="6"/>
      <c r="K49" s="6"/>
      <c r="L49" s="5"/>
      <c r="M49" s="5"/>
      <c r="N49" s="38"/>
      <c r="O49" s="6"/>
    </row>
    <row r="50" spans="1:15" ht="14.5" x14ac:dyDescent="0.35">
      <c r="A50" s="5"/>
      <c r="B50" s="5"/>
      <c r="C50" s="38"/>
      <c r="D50" s="5"/>
      <c r="E50" s="5"/>
      <c r="F50" s="5"/>
      <c r="G50" s="5"/>
      <c r="H50" s="5"/>
      <c r="I50" s="6"/>
      <c r="J50" s="6"/>
      <c r="K50" s="6"/>
      <c r="L50" s="5"/>
      <c r="M50" s="5"/>
      <c r="N50" s="38"/>
      <c r="O50" s="6"/>
    </row>
    <row r="51" spans="1:15" ht="14.5" x14ac:dyDescent="0.35">
      <c r="A51" s="46" t="s">
        <v>18</v>
      </c>
      <c r="B51" s="5"/>
      <c r="C51" s="38"/>
      <c r="D51" s="5"/>
      <c r="E51" s="5"/>
      <c r="F51" s="5"/>
      <c r="G51" s="5"/>
      <c r="H51" s="5"/>
      <c r="I51" s="6" t="s">
        <v>92</v>
      </c>
      <c r="J51" s="6"/>
      <c r="K51" s="6">
        <f>SUM(J52:J59)</f>
        <v>0</v>
      </c>
      <c r="L51" s="5"/>
      <c r="M51" s="5"/>
      <c r="N51" s="38"/>
      <c r="O51" s="6"/>
    </row>
    <row r="52" spans="1:15" ht="14.5" x14ac:dyDescent="0.35">
      <c r="A52" s="5" t="s">
        <v>93</v>
      </c>
      <c r="B52" s="5" t="s">
        <v>94</v>
      </c>
      <c r="C52" s="38">
        <v>0</v>
      </c>
      <c r="D52" s="5" t="s">
        <v>95</v>
      </c>
      <c r="E52" s="52">
        <v>0</v>
      </c>
      <c r="F52" s="5" t="s">
        <v>49</v>
      </c>
      <c r="G52" s="5"/>
      <c r="H52" s="5"/>
      <c r="I52" s="6" t="s">
        <v>101</v>
      </c>
      <c r="J52" s="6" t="s">
        <v>101</v>
      </c>
      <c r="K52" s="6"/>
      <c r="L52" s="5"/>
      <c r="M52" s="5"/>
      <c r="N52" s="38"/>
      <c r="O52" s="6"/>
    </row>
    <row r="53" spans="1:15" ht="14.5" x14ac:dyDescent="0.35">
      <c r="A53" s="5"/>
      <c r="B53" s="5" t="s">
        <v>17</v>
      </c>
      <c r="C53" s="38">
        <v>0</v>
      </c>
      <c r="D53" s="5" t="s">
        <v>95</v>
      </c>
      <c r="E53" s="52">
        <v>0</v>
      </c>
      <c r="F53" s="5" t="s">
        <v>49</v>
      </c>
      <c r="G53" s="5"/>
      <c r="H53" s="5"/>
      <c r="I53" s="6" t="s">
        <v>101</v>
      </c>
      <c r="J53" s="6" t="s">
        <v>101</v>
      </c>
      <c r="K53" s="6"/>
      <c r="L53" s="5"/>
      <c r="M53" s="5"/>
      <c r="N53" s="38"/>
      <c r="O53" s="6"/>
    </row>
    <row r="54" spans="1:15" ht="14.5" x14ac:dyDescent="0.35">
      <c r="A54" s="5" t="s">
        <v>96</v>
      </c>
      <c r="B54" s="5" t="s">
        <v>94</v>
      </c>
      <c r="C54" s="38">
        <v>0</v>
      </c>
      <c r="D54" s="5" t="s">
        <v>95</v>
      </c>
      <c r="E54" s="52">
        <v>0</v>
      </c>
      <c r="F54" s="5" t="s">
        <v>49</v>
      </c>
      <c r="G54" s="5"/>
      <c r="H54" s="5"/>
      <c r="I54" s="6" t="s">
        <v>101</v>
      </c>
      <c r="J54" s="6" t="s">
        <v>101</v>
      </c>
      <c r="K54" s="6"/>
      <c r="L54" s="5"/>
      <c r="M54" s="5"/>
      <c r="N54" s="38"/>
      <c r="O54" s="6"/>
    </row>
    <row r="55" spans="1:15" ht="14.5" x14ac:dyDescent="0.35">
      <c r="A55" s="5"/>
      <c r="B55" s="5" t="s">
        <v>17</v>
      </c>
      <c r="C55" s="38">
        <v>0</v>
      </c>
      <c r="D55" s="5" t="s">
        <v>95</v>
      </c>
      <c r="E55" s="52">
        <v>0</v>
      </c>
      <c r="F55" s="5" t="s">
        <v>49</v>
      </c>
      <c r="G55" s="5"/>
      <c r="H55" s="5"/>
      <c r="I55" s="6" t="s">
        <v>101</v>
      </c>
      <c r="J55" s="6" t="s">
        <v>101</v>
      </c>
      <c r="K55" s="6"/>
      <c r="L55" s="5"/>
      <c r="M55" s="5"/>
      <c r="N55" s="38"/>
      <c r="O55" s="6"/>
    </row>
    <row r="56" spans="1:15" ht="14.5" x14ac:dyDescent="0.35">
      <c r="A56" s="5" t="s">
        <v>98</v>
      </c>
      <c r="B56" s="5" t="s">
        <v>94</v>
      </c>
      <c r="C56" s="38">
        <v>0</v>
      </c>
      <c r="D56" s="5" t="s">
        <v>95</v>
      </c>
      <c r="E56" s="52">
        <v>0</v>
      </c>
      <c r="F56" s="5" t="s">
        <v>49</v>
      </c>
      <c r="G56" s="5"/>
      <c r="H56" s="5"/>
      <c r="I56" s="6" t="s">
        <v>101</v>
      </c>
      <c r="J56" s="6" t="s">
        <v>101</v>
      </c>
      <c r="K56" s="6"/>
      <c r="L56" s="5"/>
      <c r="M56" s="5"/>
      <c r="N56" s="38"/>
      <c r="O56" s="6"/>
    </row>
    <row r="57" spans="1:15" ht="14.5" x14ac:dyDescent="0.35">
      <c r="A57" s="5"/>
      <c r="B57" s="5" t="s">
        <v>17</v>
      </c>
      <c r="C57" s="38">
        <v>0</v>
      </c>
      <c r="D57" s="5" t="s">
        <v>95</v>
      </c>
      <c r="E57" s="52">
        <v>0</v>
      </c>
      <c r="F57" s="5" t="s">
        <v>49</v>
      </c>
      <c r="G57" s="5"/>
      <c r="H57" s="5"/>
      <c r="I57" s="6" t="s">
        <v>101</v>
      </c>
      <c r="J57" s="6" t="s">
        <v>101</v>
      </c>
      <c r="K57" s="6"/>
      <c r="L57" s="5"/>
      <c r="M57" s="5"/>
      <c r="N57" s="38"/>
      <c r="O57" s="6"/>
    </row>
    <row r="58" spans="1:15" ht="14.5" x14ac:dyDescent="0.35">
      <c r="A58" s="5" t="s">
        <v>99</v>
      </c>
      <c r="B58" s="5" t="s">
        <v>94</v>
      </c>
      <c r="C58" s="38">
        <v>0</v>
      </c>
      <c r="D58" s="5" t="s">
        <v>95</v>
      </c>
      <c r="E58" s="52">
        <v>0</v>
      </c>
      <c r="F58" s="5" t="s">
        <v>49</v>
      </c>
      <c r="G58" s="5"/>
      <c r="H58" s="5"/>
      <c r="I58" s="6" t="s">
        <v>101</v>
      </c>
      <c r="J58" s="6" t="s">
        <v>101</v>
      </c>
      <c r="K58" s="6"/>
      <c r="L58" s="5"/>
      <c r="M58" s="5"/>
      <c r="N58" s="38"/>
      <c r="O58" s="6"/>
    </row>
    <row r="59" spans="1:15" ht="14.5" x14ac:dyDescent="0.35">
      <c r="A59" s="5"/>
      <c r="B59" s="5" t="s">
        <v>17</v>
      </c>
      <c r="C59" s="38">
        <v>0</v>
      </c>
      <c r="D59" s="5" t="s">
        <v>95</v>
      </c>
      <c r="E59" s="52">
        <v>0</v>
      </c>
      <c r="F59" s="5" t="s">
        <v>49</v>
      </c>
      <c r="G59" s="5"/>
      <c r="H59" s="5"/>
      <c r="I59" s="6" t="s">
        <v>101</v>
      </c>
      <c r="J59" s="6" t="s">
        <v>101</v>
      </c>
      <c r="K59" s="6"/>
      <c r="L59" s="5"/>
      <c r="M59" s="5"/>
      <c r="N59" s="38"/>
      <c r="O59" s="6"/>
    </row>
    <row r="60" spans="1:15" ht="14.5" x14ac:dyDescent="0.35">
      <c r="A60" s="5"/>
      <c r="B60" s="5"/>
      <c r="C60" s="38"/>
      <c r="D60" s="5"/>
      <c r="E60" s="5"/>
      <c r="F60" s="5"/>
      <c r="G60" s="5"/>
      <c r="H60" s="5"/>
      <c r="I60" s="6"/>
      <c r="J60" s="6"/>
      <c r="K60" s="6"/>
      <c r="L60" s="5"/>
      <c r="M60" s="5"/>
      <c r="N60" s="38"/>
      <c r="O60" s="6"/>
    </row>
    <row r="61" spans="1:15" ht="14.5" x14ac:dyDescent="0.35">
      <c r="A61" s="5"/>
      <c r="B61" s="5"/>
      <c r="C61" s="38"/>
      <c r="D61" s="5"/>
      <c r="E61" s="5"/>
      <c r="F61" s="5"/>
      <c r="G61" s="5"/>
      <c r="H61" s="5"/>
      <c r="I61" s="6"/>
      <c r="J61" s="6"/>
      <c r="K61" s="6"/>
      <c r="L61" s="5"/>
      <c r="M61" s="5"/>
      <c r="N61" s="38"/>
      <c r="O61" s="6"/>
    </row>
    <row r="62" spans="1:15" ht="15" thickBot="1" x14ac:dyDescent="0.4">
      <c r="A62" s="5"/>
      <c r="B62" s="5"/>
      <c r="C62" s="38"/>
      <c r="D62" s="5"/>
      <c r="E62" s="5"/>
      <c r="F62" s="5"/>
      <c r="G62" s="5"/>
      <c r="H62" s="5"/>
      <c r="I62" s="6"/>
      <c r="J62" s="6"/>
      <c r="K62" s="6"/>
      <c r="L62" s="5"/>
      <c r="M62" s="5"/>
      <c r="N62" s="38"/>
      <c r="O62" s="6"/>
    </row>
    <row r="63" spans="1:15" ht="15" thickBot="1" x14ac:dyDescent="0.4">
      <c r="A63" s="190" t="s">
        <v>102</v>
      </c>
      <c r="B63" s="179"/>
      <c r="C63" s="179"/>
      <c r="D63" s="179"/>
      <c r="E63" s="179"/>
      <c r="F63" s="179"/>
      <c r="G63" s="179"/>
      <c r="H63" s="179"/>
      <c r="I63" s="179"/>
      <c r="J63" s="179"/>
      <c r="K63" s="179"/>
      <c r="L63" s="5"/>
      <c r="M63" s="5"/>
      <c r="N63" s="38"/>
      <c r="O63" s="5"/>
    </row>
    <row r="64" spans="1:15" ht="15" thickBot="1" x14ac:dyDescent="0.4">
      <c r="A64" s="191" t="s">
        <v>103</v>
      </c>
      <c r="B64" s="179"/>
      <c r="C64" s="179"/>
      <c r="D64" s="179"/>
      <c r="E64" s="179"/>
      <c r="F64" s="179"/>
      <c r="G64" s="179"/>
      <c r="H64" s="179"/>
      <c r="I64" s="180" t="s">
        <v>92</v>
      </c>
      <c r="J64" s="179"/>
      <c r="K64" s="189">
        <f>SUM(J65:J92)</f>
        <v>0</v>
      </c>
      <c r="L64" s="5"/>
      <c r="M64" s="180" t="s">
        <v>347</v>
      </c>
      <c r="N64" s="179"/>
      <c r="O64" s="5"/>
    </row>
    <row r="65" spans="1:15" ht="17" thickBot="1" x14ac:dyDescent="0.6">
      <c r="A65" s="179"/>
      <c r="B65" s="180" t="s">
        <v>339</v>
      </c>
      <c r="C65" s="192">
        <v>0</v>
      </c>
      <c r="D65" s="180" t="s">
        <v>105</v>
      </c>
      <c r="E65" s="179"/>
      <c r="F65" s="179"/>
      <c r="G65" s="179"/>
      <c r="H65" s="179"/>
      <c r="I65" s="189">
        <v>2303.0700000000002</v>
      </c>
      <c r="J65" s="189">
        <f>C65*I65</f>
        <v>0</v>
      </c>
      <c r="K65" s="179"/>
      <c r="L65" s="50"/>
      <c r="M65" s="197">
        <f>C22*0.05</f>
        <v>0</v>
      </c>
      <c r="N65" s="198" t="s">
        <v>348</v>
      </c>
      <c r="O65" s="5"/>
    </row>
    <row r="66" spans="1:15" ht="17" thickBot="1" x14ac:dyDescent="0.6">
      <c r="A66" s="179"/>
      <c r="B66" s="180" t="s">
        <v>116</v>
      </c>
      <c r="C66" s="193">
        <v>0</v>
      </c>
      <c r="D66" s="180" t="s">
        <v>105</v>
      </c>
      <c r="E66" s="179"/>
      <c r="F66" s="179"/>
      <c r="G66" s="179"/>
      <c r="H66" s="179"/>
      <c r="I66" s="189">
        <v>3689.04</v>
      </c>
      <c r="J66" s="189">
        <f t="shared" ref="J66:J92" si="2">C66*I66</f>
        <v>0</v>
      </c>
      <c r="K66" s="179"/>
      <c r="L66" s="50"/>
      <c r="M66" s="197">
        <f>(M65+(0.5*C23-0.5))*80</f>
        <v>-40</v>
      </c>
      <c r="N66" s="198" t="s">
        <v>352</v>
      </c>
      <c r="O66" s="5"/>
    </row>
    <row r="67" spans="1:15" ht="17" thickBot="1" x14ac:dyDescent="0.6">
      <c r="A67" s="179"/>
      <c r="B67" s="180" t="s">
        <v>120</v>
      </c>
      <c r="C67" s="193">
        <v>0</v>
      </c>
      <c r="D67" s="180" t="s">
        <v>105</v>
      </c>
      <c r="E67" s="179"/>
      <c r="F67" s="179"/>
      <c r="G67" s="179"/>
      <c r="H67" s="179"/>
      <c r="I67" s="189">
        <v>6278.91</v>
      </c>
      <c r="J67" s="189">
        <f t="shared" si="2"/>
        <v>0</v>
      </c>
      <c r="K67" s="179"/>
      <c r="L67" s="50"/>
      <c r="M67" s="197">
        <f>(M65+(0.5*C23-0.5))*100</f>
        <v>-50</v>
      </c>
      <c r="N67" s="198" t="s">
        <v>353</v>
      </c>
      <c r="O67" s="5"/>
    </row>
    <row r="68" spans="1:15" ht="17" thickBot="1" x14ac:dyDescent="0.6">
      <c r="A68" s="179"/>
      <c r="B68" s="180" t="s">
        <v>201</v>
      </c>
      <c r="C68" s="194">
        <v>0</v>
      </c>
      <c r="D68" s="180" t="s">
        <v>105</v>
      </c>
      <c r="E68" s="179"/>
      <c r="F68" s="179"/>
      <c r="G68" s="179"/>
      <c r="H68" s="179"/>
      <c r="I68" s="189">
        <v>1735134.55</v>
      </c>
      <c r="J68" s="189">
        <f t="shared" si="2"/>
        <v>0</v>
      </c>
      <c r="K68" s="179"/>
      <c r="L68" s="50"/>
      <c r="O68" s="5"/>
    </row>
    <row r="69" spans="1:15" ht="17" thickBot="1" x14ac:dyDescent="0.6">
      <c r="A69" s="179"/>
      <c r="B69" s="180" t="s">
        <v>207</v>
      </c>
      <c r="C69" s="194">
        <v>0</v>
      </c>
      <c r="D69" s="180" t="s">
        <v>105</v>
      </c>
      <c r="E69" s="179"/>
      <c r="F69" s="179"/>
      <c r="G69" s="179"/>
      <c r="H69" s="179"/>
      <c r="I69" s="189">
        <v>1769451.82</v>
      </c>
      <c r="J69" s="189">
        <f t="shared" si="2"/>
        <v>0</v>
      </c>
      <c r="K69" s="179"/>
      <c r="L69" s="50"/>
      <c r="M69" s="5"/>
      <c r="N69" s="38"/>
      <c r="O69" s="5"/>
    </row>
    <row r="70" spans="1:15" ht="17" thickBot="1" x14ac:dyDescent="0.6">
      <c r="A70" s="179"/>
      <c r="B70" s="180" t="s">
        <v>338</v>
      </c>
      <c r="C70" s="194">
        <v>0</v>
      </c>
      <c r="D70" s="180" t="s">
        <v>105</v>
      </c>
      <c r="E70" s="179"/>
      <c r="F70" s="179"/>
      <c r="G70" s="179"/>
      <c r="H70" s="179"/>
      <c r="I70" s="189">
        <v>1130</v>
      </c>
      <c r="J70" s="189">
        <f t="shared" si="2"/>
        <v>0</v>
      </c>
      <c r="K70" s="179"/>
      <c r="L70" s="50"/>
      <c r="M70" s="5"/>
      <c r="N70" s="38"/>
      <c r="O70" s="5"/>
    </row>
    <row r="71" spans="1:15" ht="17" thickBot="1" x14ac:dyDescent="0.6">
      <c r="A71" s="179"/>
      <c r="B71" s="180" t="s">
        <v>211</v>
      </c>
      <c r="C71" s="194">
        <v>0</v>
      </c>
      <c r="D71" s="180" t="s">
        <v>105</v>
      </c>
      <c r="E71" s="179"/>
      <c r="F71" s="179"/>
      <c r="G71" s="179"/>
      <c r="H71" s="179"/>
      <c r="I71" s="189">
        <v>709634.55</v>
      </c>
      <c r="J71" s="189">
        <f t="shared" si="2"/>
        <v>0</v>
      </c>
      <c r="K71" s="179"/>
      <c r="L71" s="50"/>
      <c r="M71" s="5"/>
      <c r="N71" s="38"/>
      <c r="O71" s="5"/>
    </row>
    <row r="72" spans="1:15" ht="17" thickBot="1" x14ac:dyDescent="0.6">
      <c r="A72" s="179"/>
      <c r="B72" s="180" t="s">
        <v>122</v>
      </c>
      <c r="C72" s="194">
        <v>0</v>
      </c>
      <c r="D72" s="180" t="s">
        <v>105</v>
      </c>
      <c r="E72" s="179"/>
      <c r="F72" s="179"/>
      <c r="G72" s="179"/>
      <c r="H72" s="179"/>
      <c r="I72" s="181">
        <v>0</v>
      </c>
      <c r="J72" s="189">
        <f t="shared" si="2"/>
        <v>0</v>
      </c>
      <c r="K72" s="179"/>
      <c r="L72" s="50"/>
      <c r="M72" s="5"/>
      <c r="N72" s="38"/>
      <c r="O72" s="5"/>
    </row>
    <row r="73" spans="1:15" ht="17" thickBot="1" x14ac:dyDescent="0.6">
      <c r="A73" s="179"/>
      <c r="B73" s="180" t="s">
        <v>122</v>
      </c>
      <c r="C73" s="194">
        <v>0</v>
      </c>
      <c r="D73" s="180" t="s">
        <v>105</v>
      </c>
      <c r="E73" s="179"/>
      <c r="F73" s="179"/>
      <c r="G73" s="179"/>
      <c r="H73" s="179"/>
      <c r="I73" s="181">
        <v>0</v>
      </c>
      <c r="J73" s="189">
        <f t="shared" si="2"/>
        <v>0</v>
      </c>
      <c r="K73" s="179"/>
      <c r="L73" s="50"/>
      <c r="M73" s="5"/>
      <c r="N73" s="38"/>
      <c r="O73" s="5"/>
    </row>
    <row r="74" spans="1:15" ht="17" thickBot="1" x14ac:dyDescent="0.6">
      <c r="A74" s="179"/>
      <c r="B74" s="180" t="s">
        <v>124</v>
      </c>
      <c r="C74" s="194">
        <v>0</v>
      </c>
      <c r="D74" s="180" t="s">
        <v>105</v>
      </c>
      <c r="E74" s="179"/>
      <c r="F74" s="179"/>
      <c r="G74" s="179"/>
      <c r="H74" s="179"/>
      <c r="I74" s="189">
        <v>2500</v>
      </c>
      <c r="J74" s="189">
        <f t="shared" si="2"/>
        <v>0</v>
      </c>
      <c r="K74" s="179"/>
      <c r="L74" s="50"/>
      <c r="M74" s="5"/>
      <c r="N74" s="38"/>
      <c r="O74" s="5"/>
    </row>
    <row r="75" spans="1:15" ht="17" thickBot="1" x14ac:dyDescent="0.6">
      <c r="A75" s="179"/>
      <c r="B75" s="180" t="s">
        <v>125</v>
      </c>
      <c r="C75" s="194">
        <v>0</v>
      </c>
      <c r="D75" s="180" t="s">
        <v>105</v>
      </c>
      <c r="E75" s="179"/>
      <c r="F75" s="179"/>
      <c r="G75" s="179"/>
      <c r="H75" s="179"/>
      <c r="I75" s="189">
        <v>2500</v>
      </c>
      <c r="J75" s="189">
        <f t="shared" si="2"/>
        <v>0</v>
      </c>
      <c r="K75" s="179"/>
      <c r="L75" s="50"/>
      <c r="M75" s="5"/>
      <c r="N75" s="38"/>
      <c r="O75" s="5"/>
    </row>
    <row r="76" spans="1:15" ht="17" thickBot="1" x14ac:dyDescent="0.6">
      <c r="A76" s="179"/>
      <c r="B76" s="180" t="s">
        <v>122</v>
      </c>
      <c r="C76" s="194">
        <v>0</v>
      </c>
      <c r="D76" s="180" t="s">
        <v>105</v>
      </c>
      <c r="E76" s="179"/>
      <c r="F76" s="179"/>
      <c r="G76" s="179"/>
      <c r="H76" s="179"/>
      <c r="I76" s="181">
        <v>0</v>
      </c>
      <c r="J76" s="189">
        <f t="shared" si="2"/>
        <v>0</v>
      </c>
      <c r="K76" s="179"/>
      <c r="L76" s="50"/>
      <c r="M76" s="5"/>
      <c r="N76" s="38"/>
      <c r="O76" s="6"/>
    </row>
    <row r="77" spans="1:15" ht="17" thickBot="1" x14ac:dyDescent="0.6">
      <c r="A77" s="179"/>
      <c r="B77" s="180" t="s">
        <v>122</v>
      </c>
      <c r="C77" s="194">
        <v>0</v>
      </c>
      <c r="D77" s="180" t="s">
        <v>105</v>
      </c>
      <c r="E77" s="179"/>
      <c r="F77" s="179"/>
      <c r="G77" s="179"/>
      <c r="H77" s="179"/>
      <c r="I77" s="181">
        <v>0</v>
      </c>
      <c r="J77" s="189">
        <f t="shared" si="2"/>
        <v>0</v>
      </c>
      <c r="K77" s="179"/>
      <c r="L77" s="50"/>
      <c r="M77" s="5"/>
      <c r="N77" s="38"/>
      <c r="O77" s="6"/>
    </row>
    <row r="78" spans="1:15" ht="17" thickBot="1" x14ac:dyDescent="0.6">
      <c r="A78" s="179"/>
      <c r="B78" s="180" t="s">
        <v>126</v>
      </c>
      <c r="C78" s="194">
        <v>0</v>
      </c>
      <c r="D78" s="180" t="s">
        <v>105</v>
      </c>
      <c r="E78" s="179"/>
      <c r="F78" s="179"/>
      <c r="G78" s="179"/>
      <c r="H78" s="179"/>
      <c r="I78" s="189">
        <v>138000</v>
      </c>
      <c r="J78" s="189">
        <f t="shared" si="2"/>
        <v>0</v>
      </c>
      <c r="K78" s="179"/>
      <c r="L78" s="50"/>
      <c r="M78" s="5"/>
      <c r="N78" s="38"/>
      <c r="O78" s="6"/>
    </row>
    <row r="79" spans="1:15" ht="17" thickBot="1" x14ac:dyDescent="0.6">
      <c r="A79" s="179"/>
      <c r="B79" s="180" t="s">
        <v>127</v>
      </c>
      <c r="C79" s="194">
        <v>0</v>
      </c>
      <c r="D79" s="180" t="s">
        <v>105</v>
      </c>
      <c r="E79" s="179"/>
      <c r="F79" s="179"/>
      <c r="G79" s="179"/>
      <c r="H79" s="179"/>
      <c r="I79" s="189">
        <v>159000</v>
      </c>
      <c r="J79" s="189">
        <f t="shared" si="2"/>
        <v>0</v>
      </c>
      <c r="K79" s="179"/>
      <c r="L79" s="50"/>
      <c r="M79" s="5"/>
      <c r="N79" s="38"/>
      <c r="O79" s="6"/>
    </row>
    <row r="80" spans="1:15" ht="17" thickBot="1" x14ac:dyDescent="0.6">
      <c r="A80" s="179"/>
      <c r="B80" s="180" t="s">
        <v>128</v>
      </c>
      <c r="C80" s="194">
        <v>0</v>
      </c>
      <c r="D80" s="180" t="s">
        <v>105</v>
      </c>
      <c r="E80" s="179"/>
      <c r="F80" s="179"/>
      <c r="G80" s="179"/>
      <c r="H80" s="179"/>
      <c r="I80" s="189">
        <v>189000</v>
      </c>
      <c r="J80" s="189">
        <f t="shared" si="2"/>
        <v>0</v>
      </c>
      <c r="K80" s="179"/>
      <c r="L80" s="50"/>
      <c r="M80" s="5"/>
      <c r="N80" s="38"/>
      <c r="O80" s="6"/>
    </row>
    <row r="81" spans="1:15" ht="17" thickBot="1" x14ac:dyDescent="0.6">
      <c r="A81" s="179"/>
      <c r="B81" s="180" t="s">
        <v>129</v>
      </c>
      <c r="C81" s="194">
        <v>0</v>
      </c>
      <c r="D81" s="180" t="s">
        <v>105</v>
      </c>
      <c r="E81" s="179"/>
      <c r="F81" s="179"/>
      <c r="G81" s="179"/>
      <c r="H81" s="179"/>
      <c r="I81" s="189">
        <v>10000</v>
      </c>
      <c r="J81" s="189">
        <f t="shared" si="2"/>
        <v>0</v>
      </c>
      <c r="K81" s="179"/>
      <c r="L81" s="50"/>
      <c r="M81" s="5"/>
      <c r="N81" s="38"/>
      <c r="O81" s="6"/>
    </row>
    <row r="82" spans="1:15" ht="17" thickBot="1" x14ac:dyDescent="0.6">
      <c r="A82" s="179"/>
      <c r="B82" s="180" t="s">
        <v>131</v>
      </c>
      <c r="C82" s="194">
        <v>0</v>
      </c>
      <c r="D82" s="180" t="s">
        <v>105</v>
      </c>
      <c r="E82" s="179"/>
      <c r="F82" s="179"/>
      <c r="G82" s="179"/>
      <c r="H82" s="179"/>
      <c r="I82" s="189">
        <v>7650</v>
      </c>
      <c r="J82" s="189">
        <f t="shared" si="2"/>
        <v>0</v>
      </c>
      <c r="K82" s="179"/>
      <c r="L82" s="50"/>
      <c r="M82" s="5"/>
      <c r="N82" s="38"/>
      <c r="O82" s="6"/>
    </row>
    <row r="83" spans="1:15" ht="17" thickBot="1" x14ac:dyDescent="0.6">
      <c r="A83" s="179"/>
      <c r="B83" s="180" t="s">
        <v>132</v>
      </c>
      <c r="C83" s="194">
        <v>0</v>
      </c>
      <c r="D83" s="180" t="s">
        <v>105</v>
      </c>
      <c r="E83" s="179"/>
      <c r="F83" s="179"/>
      <c r="G83" s="179"/>
      <c r="H83" s="179"/>
      <c r="I83" s="189">
        <v>50000</v>
      </c>
      <c r="J83" s="189">
        <f t="shared" si="2"/>
        <v>0</v>
      </c>
      <c r="K83" s="179"/>
      <c r="L83" s="50"/>
      <c r="M83" s="5"/>
      <c r="N83" s="38"/>
      <c r="O83" s="6"/>
    </row>
    <row r="84" spans="1:15" ht="17" thickBot="1" x14ac:dyDescent="0.6">
      <c r="A84" s="179"/>
      <c r="B84" s="180" t="s">
        <v>141</v>
      </c>
      <c r="C84" s="194">
        <v>0</v>
      </c>
      <c r="D84" s="180" t="s">
        <v>105</v>
      </c>
      <c r="E84" s="179"/>
      <c r="F84" s="179"/>
      <c r="G84" s="179"/>
      <c r="H84" s="179"/>
      <c r="I84" s="189">
        <v>142500</v>
      </c>
      <c r="J84" s="189">
        <f t="shared" si="2"/>
        <v>0</v>
      </c>
      <c r="K84" s="179"/>
      <c r="L84" s="50"/>
      <c r="M84" s="5"/>
      <c r="N84" s="38"/>
      <c r="O84" s="6"/>
    </row>
    <row r="85" spans="1:15" ht="17" thickBot="1" x14ac:dyDescent="0.6">
      <c r="A85" s="179"/>
      <c r="B85" s="180" t="s">
        <v>122</v>
      </c>
      <c r="C85" s="194">
        <v>0</v>
      </c>
      <c r="D85" s="180" t="s">
        <v>105</v>
      </c>
      <c r="E85" s="179"/>
      <c r="F85" s="179"/>
      <c r="G85" s="179"/>
      <c r="H85" s="179"/>
      <c r="I85" s="181">
        <v>0</v>
      </c>
      <c r="J85" s="189">
        <f t="shared" si="2"/>
        <v>0</v>
      </c>
      <c r="K85" s="179"/>
      <c r="L85" s="50"/>
      <c r="M85" s="5"/>
      <c r="N85" s="38"/>
      <c r="O85" s="6"/>
    </row>
    <row r="86" spans="1:15" ht="17" thickBot="1" x14ac:dyDescent="0.6">
      <c r="A86" s="179"/>
      <c r="B86" s="180" t="s">
        <v>122</v>
      </c>
      <c r="C86" s="194">
        <v>0</v>
      </c>
      <c r="D86" s="180" t="s">
        <v>105</v>
      </c>
      <c r="E86" s="179"/>
      <c r="F86" s="179"/>
      <c r="G86" s="179"/>
      <c r="H86" s="179"/>
      <c r="I86" s="181">
        <v>0</v>
      </c>
      <c r="J86" s="189">
        <f t="shared" si="2"/>
        <v>0</v>
      </c>
      <c r="K86" s="179"/>
      <c r="L86" s="50"/>
      <c r="M86" s="5"/>
      <c r="N86" s="38"/>
      <c r="O86" s="6"/>
    </row>
    <row r="87" spans="1:15" ht="17" thickBot="1" x14ac:dyDescent="0.6">
      <c r="A87" s="179"/>
      <c r="B87" s="180" t="s">
        <v>122</v>
      </c>
      <c r="C87" s="194">
        <v>0</v>
      </c>
      <c r="D87" s="180" t="s">
        <v>105</v>
      </c>
      <c r="E87" s="179"/>
      <c r="F87" s="179"/>
      <c r="G87" s="179"/>
      <c r="H87" s="179"/>
      <c r="I87" s="181">
        <v>0</v>
      </c>
      <c r="J87" s="189">
        <f t="shared" si="2"/>
        <v>0</v>
      </c>
      <c r="K87" s="179"/>
      <c r="L87" s="50"/>
      <c r="M87" s="5"/>
      <c r="N87" s="38"/>
      <c r="O87" s="6"/>
    </row>
    <row r="88" spans="1:15" ht="17" thickBot="1" x14ac:dyDescent="0.6">
      <c r="A88" s="179"/>
      <c r="B88" s="180" t="s">
        <v>122</v>
      </c>
      <c r="C88" s="194">
        <v>0</v>
      </c>
      <c r="D88" s="180" t="s">
        <v>105</v>
      </c>
      <c r="E88" s="179"/>
      <c r="F88" s="179"/>
      <c r="G88" s="179"/>
      <c r="H88" s="179"/>
      <c r="I88" s="181">
        <v>0</v>
      </c>
      <c r="J88" s="189">
        <f t="shared" si="2"/>
        <v>0</v>
      </c>
      <c r="K88" s="179"/>
      <c r="L88" s="50"/>
      <c r="M88" s="5"/>
      <c r="N88" s="38"/>
      <c r="O88" s="6"/>
    </row>
    <row r="89" spans="1:15" ht="17" thickBot="1" x14ac:dyDescent="0.6">
      <c r="A89" s="179"/>
      <c r="B89" s="180" t="s">
        <v>122</v>
      </c>
      <c r="C89" s="194">
        <v>0</v>
      </c>
      <c r="D89" s="180" t="s">
        <v>105</v>
      </c>
      <c r="E89" s="179"/>
      <c r="F89" s="179"/>
      <c r="G89" s="179"/>
      <c r="H89" s="179"/>
      <c r="I89" s="181">
        <v>0</v>
      </c>
      <c r="J89" s="189">
        <f t="shared" si="2"/>
        <v>0</v>
      </c>
      <c r="K89" s="179"/>
      <c r="L89" s="50"/>
      <c r="M89" s="5"/>
      <c r="N89" s="38"/>
      <c r="O89" s="6"/>
    </row>
    <row r="90" spans="1:15" ht="17" thickBot="1" x14ac:dyDescent="0.6">
      <c r="A90" s="179"/>
      <c r="B90" s="180" t="s">
        <v>122</v>
      </c>
      <c r="C90" s="194">
        <v>0</v>
      </c>
      <c r="D90" s="180" t="s">
        <v>105</v>
      </c>
      <c r="E90" s="179"/>
      <c r="F90" s="179"/>
      <c r="G90" s="179"/>
      <c r="H90" s="179"/>
      <c r="I90" s="181">
        <v>0</v>
      </c>
      <c r="J90" s="189">
        <f t="shared" si="2"/>
        <v>0</v>
      </c>
      <c r="K90" s="179"/>
      <c r="L90" s="50"/>
      <c r="M90" s="5"/>
      <c r="N90" s="38"/>
      <c r="O90" s="6"/>
    </row>
    <row r="91" spans="1:15" ht="17" thickBot="1" x14ac:dyDescent="0.6">
      <c r="A91" s="179"/>
      <c r="B91" s="180" t="s">
        <v>122</v>
      </c>
      <c r="C91" s="194">
        <v>0</v>
      </c>
      <c r="D91" s="180" t="s">
        <v>105</v>
      </c>
      <c r="E91" s="179"/>
      <c r="F91" s="179"/>
      <c r="G91" s="179"/>
      <c r="H91" s="179"/>
      <c r="I91" s="181">
        <v>0</v>
      </c>
      <c r="J91" s="189">
        <f t="shared" si="2"/>
        <v>0</v>
      </c>
      <c r="K91" s="179"/>
      <c r="L91" s="50"/>
      <c r="M91" s="5"/>
      <c r="N91" s="38"/>
      <c r="O91" s="6"/>
    </row>
    <row r="92" spans="1:15" ht="15" thickBot="1" x14ac:dyDescent="0.4">
      <c r="A92" s="179"/>
      <c r="B92" s="180" t="s">
        <v>122</v>
      </c>
      <c r="C92" s="194">
        <v>0</v>
      </c>
      <c r="D92" s="180" t="s">
        <v>105</v>
      </c>
      <c r="E92" s="179"/>
      <c r="F92" s="179"/>
      <c r="G92" s="179"/>
      <c r="H92" s="179"/>
      <c r="I92" s="181">
        <v>0</v>
      </c>
      <c r="J92" s="189">
        <f t="shared" si="2"/>
        <v>0</v>
      </c>
      <c r="K92" s="179"/>
      <c r="L92" s="5"/>
      <c r="M92" s="5"/>
      <c r="N92" s="38"/>
      <c r="O92" s="6"/>
    </row>
    <row r="93" spans="1:15" ht="14.5" x14ac:dyDescent="0.35">
      <c r="A93" s="187"/>
      <c r="B93" s="195"/>
      <c r="C93" s="196"/>
      <c r="D93" s="195"/>
      <c r="E93" s="187"/>
      <c r="F93" s="187"/>
      <c r="G93" s="187"/>
      <c r="H93" s="187"/>
      <c r="I93" s="188"/>
      <c r="J93" s="188"/>
      <c r="K93" s="187"/>
      <c r="L93" s="5"/>
      <c r="M93" s="5"/>
      <c r="N93" s="38"/>
      <c r="O93" s="6"/>
    </row>
    <row r="94" spans="1:15" ht="14.5" x14ac:dyDescent="0.35">
      <c r="A94" s="5"/>
      <c r="B94" s="5"/>
      <c r="C94" s="38"/>
      <c r="D94" s="5"/>
      <c r="E94" s="5"/>
      <c r="F94" s="5"/>
      <c r="G94" s="5"/>
      <c r="H94" s="5"/>
      <c r="I94" s="6"/>
      <c r="J94" s="6"/>
      <c r="K94" s="6"/>
      <c r="L94" s="5"/>
      <c r="M94" s="5"/>
      <c r="N94" s="38"/>
      <c r="O94" s="6"/>
    </row>
    <row r="95" spans="1:15" ht="14.5" x14ac:dyDescent="0.35">
      <c r="A95" s="46" t="s">
        <v>27</v>
      </c>
      <c r="B95" s="5" t="s">
        <v>91</v>
      </c>
      <c r="C95" s="38"/>
      <c r="D95" s="5"/>
      <c r="E95" s="5"/>
      <c r="F95" s="5"/>
      <c r="G95" s="5"/>
      <c r="H95" s="5"/>
      <c r="I95" s="6"/>
      <c r="J95" s="6"/>
      <c r="K95" s="6">
        <f>SUM(J96:J100)</f>
        <v>0</v>
      </c>
      <c r="L95" s="5"/>
      <c r="M95" s="5"/>
      <c r="N95" s="38"/>
      <c r="O95" s="6"/>
    </row>
    <row r="96" spans="1:15" ht="16.5" x14ac:dyDescent="0.55000000000000004">
      <c r="A96" s="5" t="str">
        <f>'PH Umum 2024'!A85</f>
        <v>Masker untuk Klien</v>
      </c>
      <c r="B96" s="5"/>
      <c r="C96" s="38">
        <v>0</v>
      </c>
      <c r="D96" s="5" t="s">
        <v>112</v>
      </c>
      <c r="E96" s="5"/>
      <c r="F96" s="5"/>
      <c r="G96" s="5"/>
      <c r="H96" s="5"/>
      <c r="I96" s="6">
        <f>'PH Umum 2024'!F85</f>
        <v>1000</v>
      </c>
      <c r="J96" s="6">
        <f t="shared" ref="J96:J100" si="3">C96*I96</f>
        <v>0</v>
      </c>
      <c r="K96" s="6"/>
      <c r="L96" s="50"/>
      <c r="M96" s="5"/>
      <c r="N96" s="38"/>
      <c r="O96" s="6"/>
    </row>
    <row r="97" spans="1:15" ht="16.5" x14ac:dyDescent="0.55000000000000004">
      <c r="A97" s="5" t="str">
        <f>'PH Umum 2024'!A97</f>
        <v>Company Profile</v>
      </c>
      <c r="B97" s="5"/>
      <c r="C97" s="38">
        <v>0</v>
      </c>
      <c r="D97" s="5" t="s">
        <v>112</v>
      </c>
      <c r="E97" s="5"/>
      <c r="F97" s="5"/>
      <c r="G97" s="5"/>
      <c r="H97" s="5"/>
      <c r="I97" s="6">
        <f>'PH Umum 2024'!F97</f>
        <v>10000</v>
      </c>
      <c r="J97" s="6">
        <f t="shared" si="3"/>
        <v>0</v>
      </c>
      <c r="K97" s="6"/>
      <c r="L97" s="50"/>
      <c r="M97" s="5"/>
      <c r="N97" s="38"/>
      <c r="O97" s="6"/>
    </row>
    <row r="98" spans="1:15" ht="16.5" x14ac:dyDescent="0.55000000000000004">
      <c r="A98" s="5" t="str">
        <f>'PH Umum 2024'!A109</f>
        <v>Laporan/SPK/Surat/Kontrak</v>
      </c>
      <c r="B98" s="5"/>
      <c r="C98" s="38">
        <v>0</v>
      </c>
      <c r="D98" s="5" t="s">
        <v>112</v>
      </c>
      <c r="E98" s="5"/>
      <c r="F98" s="5"/>
      <c r="G98" s="5"/>
      <c r="H98" s="5"/>
      <c r="I98" s="6">
        <f>'PH Umum 2024'!F109</f>
        <v>5000</v>
      </c>
      <c r="J98" s="6">
        <f t="shared" si="3"/>
        <v>0</v>
      </c>
      <c r="K98" s="6"/>
      <c r="L98" s="50"/>
      <c r="M98" s="5"/>
      <c r="N98" s="38"/>
      <c r="O98" s="6"/>
    </row>
    <row r="99" spans="1:15" ht="16.5" x14ac:dyDescent="0.55000000000000004">
      <c r="A99" s="5" t="str">
        <f>'PH Umum 2024'!A121</f>
        <v>BAP</v>
      </c>
      <c r="B99" s="5"/>
      <c r="C99" s="38">
        <v>0</v>
      </c>
      <c r="D99" s="5" t="s">
        <v>105</v>
      </c>
      <c r="E99" s="5"/>
      <c r="F99" s="5"/>
      <c r="G99" s="5"/>
      <c r="H99" s="5"/>
      <c r="I99" s="6">
        <f>'PH Umum 2024'!F121</f>
        <v>50000</v>
      </c>
      <c r="J99" s="6">
        <f t="shared" si="3"/>
        <v>0</v>
      </c>
      <c r="K99" s="6"/>
      <c r="L99" s="50"/>
      <c r="M99" s="5"/>
      <c r="N99" s="38"/>
      <c r="O99" s="6"/>
    </row>
    <row r="100" spans="1:15" ht="16.5" x14ac:dyDescent="0.55000000000000004">
      <c r="A100" s="5" t="str">
        <f>'PH Umum 2024'!A133</f>
        <v>LOG BOOK</v>
      </c>
      <c r="B100" s="5"/>
      <c r="C100" s="38">
        <v>0</v>
      </c>
      <c r="D100" s="5" t="s">
        <v>105</v>
      </c>
      <c r="E100" s="5"/>
      <c r="F100" s="5"/>
      <c r="G100" s="5"/>
      <c r="H100" s="5"/>
      <c r="I100" s="6">
        <f>'PH Umum 2024'!F133</f>
        <v>20000</v>
      </c>
      <c r="J100" s="6">
        <f t="shared" si="3"/>
        <v>0</v>
      </c>
      <c r="K100" s="6"/>
      <c r="L100" s="50"/>
      <c r="M100" s="5"/>
      <c r="N100" s="38"/>
      <c r="O100" s="6"/>
    </row>
    <row r="101" spans="1:15" ht="14.5" x14ac:dyDescent="0.35">
      <c r="A101" s="5"/>
      <c r="B101" s="5"/>
      <c r="C101" s="38"/>
      <c r="D101" s="5"/>
      <c r="E101" s="5"/>
      <c r="F101" s="5"/>
      <c r="G101" s="5"/>
      <c r="H101" s="5"/>
      <c r="I101" s="6"/>
      <c r="J101" s="6"/>
      <c r="K101" s="6"/>
      <c r="L101" s="5"/>
      <c r="M101" s="5"/>
      <c r="N101" s="38"/>
      <c r="O101" s="6"/>
    </row>
    <row r="102" spans="1:15" ht="14.5" x14ac:dyDescent="0.35">
      <c r="A102" s="5"/>
      <c r="B102" s="5"/>
      <c r="C102" s="38"/>
      <c r="D102" s="5"/>
      <c r="E102" s="5"/>
      <c r="F102" s="5"/>
      <c r="G102" s="5"/>
      <c r="H102" s="5"/>
      <c r="I102" s="6"/>
      <c r="J102" s="6"/>
      <c r="K102" s="6"/>
      <c r="L102" s="5"/>
      <c r="M102" s="5"/>
      <c r="N102" s="38"/>
      <c r="O102" s="6"/>
    </row>
    <row r="103" spans="1:15" ht="14.5" x14ac:dyDescent="0.35">
      <c r="A103" s="5"/>
      <c r="B103" s="5"/>
      <c r="C103" s="38"/>
      <c r="D103" s="5"/>
      <c r="E103" s="5"/>
      <c r="F103" s="5"/>
      <c r="G103" s="5"/>
      <c r="H103" s="5"/>
      <c r="I103" s="6"/>
      <c r="J103" s="6"/>
      <c r="K103" s="6"/>
      <c r="L103" s="5"/>
      <c r="M103" s="5"/>
      <c r="N103" s="38"/>
      <c r="O103" s="6"/>
    </row>
    <row r="104" spans="1:15" ht="14.5" x14ac:dyDescent="0.35">
      <c r="A104" s="5"/>
      <c r="B104" s="5"/>
      <c r="C104" s="38"/>
      <c r="D104" s="5"/>
      <c r="E104" s="5"/>
      <c r="F104" s="5"/>
      <c r="G104" s="5"/>
      <c r="H104" s="5"/>
      <c r="I104" s="6"/>
      <c r="J104" s="6"/>
      <c r="K104" s="6"/>
      <c r="L104" s="5"/>
      <c r="M104" s="5"/>
      <c r="N104" s="38"/>
      <c r="O104" s="6"/>
    </row>
    <row r="105" spans="1:15" ht="14.5" x14ac:dyDescent="0.35">
      <c r="A105" s="5"/>
      <c r="B105" s="5"/>
      <c r="C105" s="38"/>
      <c r="D105" s="5"/>
      <c r="E105" s="5"/>
      <c r="F105" s="5"/>
      <c r="G105" s="5"/>
      <c r="H105" s="5"/>
      <c r="I105" s="6"/>
      <c r="J105" s="6"/>
      <c r="K105" s="6"/>
      <c r="L105" s="5"/>
      <c r="M105" s="5"/>
      <c r="N105" s="38"/>
      <c r="O105" s="6"/>
    </row>
    <row r="106" spans="1:15" ht="14.5" x14ac:dyDescent="0.35">
      <c r="A106" s="5"/>
      <c r="B106" s="5"/>
      <c r="C106" s="38"/>
      <c r="D106" s="5"/>
      <c r="E106" s="5"/>
      <c r="F106" s="5"/>
      <c r="G106" s="5"/>
      <c r="H106" s="5"/>
      <c r="I106" s="6"/>
      <c r="J106" s="6"/>
      <c r="K106" s="6"/>
      <c r="L106" s="5"/>
      <c r="M106" s="5"/>
      <c r="N106" s="38"/>
      <c r="O106" s="6"/>
    </row>
    <row r="107" spans="1:15" ht="14.5" x14ac:dyDescent="0.35">
      <c r="A107" s="5"/>
      <c r="B107" s="5"/>
      <c r="C107" s="38"/>
      <c r="D107" s="5"/>
      <c r="E107" s="5"/>
      <c r="F107" s="5"/>
      <c r="G107" s="5"/>
      <c r="H107" s="5"/>
      <c r="I107" s="6"/>
      <c r="J107" s="6"/>
      <c r="K107" s="6"/>
      <c r="L107" s="5"/>
      <c r="M107" s="5"/>
      <c r="N107" s="38"/>
      <c r="O107" s="6"/>
    </row>
    <row r="108" spans="1:15" ht="12.5" x14ac:dyDescent="0.25">
      <c r="C108" s="31"/>
      <c r="I108" s="43"/>
      <c r="J108" s="43"/>
      <c r="K108" s="43"/>
      <c r="N108" s="31"/>
      <c r="O108" s="43"/>
    </row>
    <row r="109" spans="1:15" ht="12.5" x14ac:dyDescent="0.25">
      <c r="C109" s="31"/>
      <c r="I109" s="43"/>
      <c r="J109" s="43"/>
      <c r="K109" s="43"/>
      <c r="N109" s="31"/>
      <c r="O109" s="43"/>
    </row>
    <row r="110" spans="1:15" ht="12.5" x14ac:dyDescent="0.25">
      <c r="C110" s="31"/>
      <c r="I110" s="43"/>
      <c r="J110" s="43"/>
      <c r="K110" s="43"/>
      <c r="N110" s="31"/>
      <c r="O110" s="43"/>
    </row>
    <row r="111" spans="1:15" ht="12.5" x14ac:dyDescent="0.25">
      <c r="C111" s="31"/>
      <c r="I111" s="43"/>
      <c r="J111" s="43"/>
      <c r="K111" s="43"/>
      <c r="N111" s="31"/>
      <c r="O111" s="43"/>
    </row>
    <row r="112" spans="1:15" ht="12.5" x14ac:dyDescent="0.25">
      <c r="C112" s="31"/>
      <c r="I112" s="43"/>
      <c r="J112" s="43"/>
      <c r="K112" s="43"/>
      <c r="N112" s="31"/>
      <c r="O112" s="43"/>
    </row>
    <row r="113" spans="3:15" ht="12.5" x14ac:dyDescent="0.25">
      <c r="C113" s="31"/>
      <c r="I113" s="43"/>
      <c r="J113" s="43"/>
      <c r="K113" s="43"/>
      <c r="N113" s="31"/>
      <c r="O113" s="43"/>
    </row>
    <row r="114" spans="3:15" ht="12.5" x14ac:dyDescent="0.25">
      <c r="C114" s="31"/>
      <c r="I114" s="43"/>
      <c r="J114" s="43"/>
      <c r="K114" s="43"/>
      <c r="N114" s="31"/>
      <c r="O114" s="43"/>
    </row>
    <row r="115" spans="3:15" ht="12.5" x14ac:dyDescent="0.25">
      <c r="C115" s="31"/>
      <c r="I115" s="43"/>
      <c r="J115" s="43"/>
      <c r="K115" s="43"/>
      <c r="N115" s="31"/>
      <c r="O115" s="43"/>
    </row>
    <row r="116" spans="3:15" ht="12.5" x14ac:dyDescent="0.25">
      <c r="C116" s="31"/>
      <c r="I116" s="43"/>
      <c r="J116" s="43"/>
      <c r="K116" s="43"/>
      <c r="N116" s="31"/>
      <c r="O116" s="43"/>
    </row>
    <row r="117" spans="3:15" ht="12.5" x14ac:dyDescent="0.25">
      <c r="C117" s="31"/>
      <c r="I117" s="43"/>
      <c r="J117" s="43"/>
      <c r="K117" s="43"/>
      <c r="N117" s="31"/>
      <c r="O117" s="43"/>
    </row>
    <row r="118" spans="3:15" ht="12.5" x14ac:dyDescent="0.25">
      <c r="C118" s="31"/>
      <c r="I118" s="43"/>
      <c r="J118" s="43"/>
      <c r="K118" s="43"/>
      <c r="N118" s="31"/>
      <c r="O118" s="43"/>
    </row>
    <row r="119" spans="3:15" ht="12.5" x14ac:dyDescent="0.25">
      <c r="C119" s="31"/>
      <c r="I119" s="43"/>
      <c r="J119" s="43"/>
      <c r="K119" s="43"/>
      <c r="N119" s="31"/>
      <c r="O119" s="43"/>
    </row>
    <row r="120" spans="3:15" ht="12.5" x14ac:dyDescent="0.25">
      <c r="C120" s="31"/>
      <c r="I120" s="43"/>
      <c r="J120" s="43"/>
      <c r="K120" s="43"/>
      <c r="N120" s="31"/>
      <c r="O120" s="43"/>
    </row>
    <row r="121" spans="3:15" ht="12.5" x14ac:dyDescent="0.25">
      <c r="C121" s="31"/>
      <c r="I121" s="43"/>
      <c r="J121" s="43"/>
      <c r="K121" s="43"/>
      <c r="N121" s="31"/>
      <c r="O121" s="43"/>
    </row>
    <row r="122" spans="3:15" ht="12.5" x14ac:dyDescent="0.25">
      <c r="C122" s="31"/>
      <c r="I122" s="43"/>
      <c r="J122" s="43"/>
      <c r="K122" s="43"/>
      <c r="N122" s="31"/>
      <c r="O122" s="43"/>
    </row>
    <row r="123" spans="3:15" ht="12.5" x14ac:dyDescent="0.25">
      <c r="C123" s="31"/>
      <c r="I123" s="43"/>
      <c r="J123" s="43"/>
      <c r="K123" s="43"/>
      <c r="N123" s="31"/>
      <c r="O123" s="43"/>
    </row>
    <row r="124" spans="3:15" ht="12.5" x14ac:dyDescent="0.25">
      <c r="C124" s="31"/>
      <c r="I124" s="43"/>
      <c r="J124" s="43"/>
      <c r="K124" s="43"/>
      <c r="N124" s="31"/>
      <c r="O124" s="43"/>
    </row>
    <row r="125" spans="3:15" ht="12.5" x14ac:dyDescent="0.25">
      <c r="C125" s="31"/>
      <c r="I125" s="43"/>
      <c r="J125" s="43"/>
      <c r="K125" s="43"/>
      <c r="N125" s="31"/>
      <c r="O125" s="43"/>
    </row>
    <row r="126" spans="3:15" ht="12.5" x14ac:dyDescent="0.25">
      <c r="C126" s="31"/>
      <c r="I126" s="43"/>
      <c r="J126" s="43"/>
      <c r="K126" s="43"/>
      <c r="N126" s="31"/>
      <c r="O126" s="43"/>
    </row>
    <row r="127" spans="3:15" ht="12.5" x14ac:dyDescent="0.25">
      <c r="C127" s="31"/>
      <c r="I127" s="43"/>
      <c r="J127" s="43"/>
      <c r="K127" s="43"/>
      <c r="N127" s="31"/>
      <c r="O127" s="43"/>
    </row>
    <row r="128" spans="3:15" ht="12.5" x14ac:dyDescent="0.25">
      <c r="C128" s="31"/>
      <c r="I128" s="43"/>
      <c r="J128" s="43"/>
      <c r="K128" s="43"/>
      <c r="N128" s="31"/>
      <c r="O128" s="43"/>
    </row>
    <row r="129" spans="3:15" ht="12.5" x14ac:dyDescent="0.25">
      <c r="C129" s="31"/>
      <c r="I129" s="43"/>
      <c r="J129" s="43"/>
      <c r="K129" s="43"/>
      <c r="N129" s="31"/>
      <c r="O129" s="43"/>
    </row>
    <row r="130" spans="3:15" ht="12.5" x14ac:dyDescent="0.25">
      <c r="C130" s="31"/>
      <c r="I130" s="43"/>
      <c r="J130" s="43"/>
      <c r="K130" s="43"/>
      <c r="N130" s="31"/>
      <c r="O130" s="43"/>
    </row>
    <row r="131" spans="3:15" ht="12.5" x14ac:dyDescent="0.25">
      <c r="C131" s="31"/>
      <c r="I131" s="43"/>
      <c r="J131" s="43"/>
      <c r="K131" s="43"/>
      <c r="N131" s="31"/>
      <c r="O131" s="43"/>
    </row>
    <row r="132" spans="3:15" ht="12.5" x14ac:dyDescent="0.25">
      <c r="C132" s="31"/>
      <c r="I132" s="43"/>
      <c r="J132" s="43"/>
      <c r="K132" s="43"/>
      <c r="N132" s="31"/>
      <c r="O132" s="43"/>
    </row>
    <row r="133" spans="3:15" ht="12.5" x14ac:dyDescent="0.25">
      <c r="C133" s="31"/>
      <c r="I133" s="43"/>
      <c r="J133" s="43"/>
      <c r="K133" s="43"/>
      <c r="N133" s="31"/>
      <c r="O133" s="43"/>
    </row>
    <row r="134" spans="3:15" ht="12.5" x14ac:dyDescent="0.25">
      <c r="C134" s="31"/>
      <c r="I134" s="43"/>
      <c r="J134" s="43"/>
      <c r="K134" s="43"/>
      <c r="N134" s="31"/>
      <c r="O134" s="43"/>
    </row>
    <row r="135" spans="3:15" ht="12.5" x14ac:dyDescent="0.25">
      <c r="C135" s="31"/>
      <c r="I135" s="43"/>
      <c r="J135" s="43"/>
      <c r="K135" s="43"/>
      <c r="N135" s="31"/>
      <c r="O135" s="43"/>
    </row>
    <row r="136" spans="3:15" ht="12.5" x14ac:dyDescent="0.25">
      <c r="C136" s="31"/>
      <c r="I136" s="43"/>
      <c r="J136" s="43"/>
      <c r="K136" s="43"/>
      <c r="N136" s="31"/>
      <c r="O136" s="43"/>
    </row>
    <row r="137" spans="3:15" ht="12.5" x14ac:dyDescent="0.25">
      <c r="C137" s="31"/>
      <c r="I137" s="43"/>
      <c r="J137" s="43"/>
      <c r="K137" s="43"/>
      <c r="N137" s="31"/>
      <c r="O137" s="43"/>
    </row>
    <row r="138" spans="3:15" ht="12.5" x14ac:dyDescent="0.25">
      <c r="C138" s="31"/>
      <c r="I138" s="43"/>
      <c r="J138" s="43"/>
      <c r="K138" s="43"/>
      <c r="N138" s="31"/>
      <c r="O138" s="43"/>
    </row>
    <row r="139" spans="3:15" ht="12.5" x14ac:dyDescent="0.25">
      <c r="C139" s="31"/>
      <c r="I139" s="43"/>
      <c r="J139" s="43"/>
      <c r="K139" s="43"/>
      <c r="N139" s="31"/>
      <c r="O139" s="43"/>
    </row>
    <row r="140" spans="3:15" ht="12.5" x14ac:dyDescent="0.25">
      <c r="C140" s="31"/>
      <c r="I140" s="43"/>
      <c r="J140" s="43"/>
      <c r="K140" s="43"/>
      <c r="N140" s="31"/>
      <c r="O140" s="43"/>
    </row>
    <row r="141" spans="3:15" ht="12.5" x14ac:dyDescent="0.25">
      <c r="C141" s="31"/>
      <c r="I141" s="43"/>
      <c r="J141" s="43"/>
      <c r="K141" s="43"/>
      <c r="N141" s="31"/>
      <c r="O141" s="43"/>
    </row>
    <row r="142" spans="3:15" ht="12.5" x14ac:dyDescent="0.25">
      <c r="C142" s="31"/>
      <c r="I142" s="43"/>
      <c r="J142" s="43"/>
      <c r="K142" s="43"/>
      <c r="N142" s="31"/>
      <c r="O142" s="43"/>
    </row>
    <row r="143" spans="3:15" ht="12.5" x14ac:dyDescent="0.25">
      <c r="C143" s="31"/>
      <c r="I143" s="43"/>
      <c r="J143" s="43"/>
      <c r="K143" s="43"/>
      <c r="N143" s="31"/>
      <c r="O143" s="43"/>
    </row>
    <row r="144" spans="3:15" ht="12.5" x14ac:dyDescent="0.25">
      <c r="C144" s="31"/>
      <c r="I144" s="43"/>
      <c r="J144" s="43"/>
      <c r="K144" s="43"/>
      <c r="N144" s="31"/>
      <c r="O144" s="43"/>
    </row>
    <row r="145" spans="3:15" ht="12.5" x14ac:dyDescent="0.25">
      <c r="C145" s="31"/>
      <c r="I145" s="43"/>
      <c r="J145" s="43"/>
      <c r="K145" s="43"/>
      <c r="N145" s="31"/>
      <c r="O145" s="43"/>
    </row>
    <row r="146" spans="3:15" ht="12.5" x14ac:dyDescent="0.25">
      <c r="C146" s="31"/>
      <c r="I146" s="43"/>
      <c r="J146" s="43"/>
      <c r="K146" s="43"/>
      <c r="N146" s="31"/>
      <c r="O146" s="43"/>
    </row>
    <row r="147" spans="3:15" ht="12.5" x14ac:dyDescent="0.25">
      <c r="C147" s="31"/>
      <c r="I147" s="43"/>
      <c r="J147" s="43"/>
      <c r="K147" s="43"/>
      <c r="N147" s="31"/>
      <c r="O147" s="43"/>
    </row>
    <row r="148" spans="3:15" ht="12.5" x14ac:dyDescent="0.25">
      <c r="C148" s="31"/>
      <c r="I148" s="43"/>
      <c r="J148" s="43"/>
      <c r="K148" s="43"/>
      <c r="N148" s="31"/>
      <c r="O148" s="43"/>
    </row>
    <row r="149" spans="3:15" ht="12.5" x14ac:dyDescent="0.25">
      <c r="C149" s="31"/>
      <c r="I149" s="43"/>
      <c r="J149" s="43"/>
      <c r="K149" s="43"/>
      <c r="N149" s="31"/>
      <c r="O149" s="43"/>
    </row>
    <row r="150" spans="3:15" ht="12.5" x14ac:dyDescent="0.25">
      <c r="C150" s="31"/>
      <c r="I150" s="43"/>
      <c r="J150" s="43"/>
      <c r="K150" s="43"/>
      <c r="N150" s="31"/>
      <c r="O150" s="43"/>
    </row>
    <row r="151" spans="3:15" ht="12.5" x14ac:dyDescent="0.25">
      <c r="C151" s="31"/>
      <c r="I151" s="43"/>
      <c r="J151" s="43"/>
      <c r="K151" s="43"/>
      <c r="N151" s="31"/>
      <c r="O151" s="43"/>
    </row>
    <row r="152" spans="3:15" ht="12.5" x14ac:dyDescent="0.25">
      <c r="C152" s="31"/>
      <c r="I152" s="43"/>
      <c r="J152" s="43"/>
      <c r="K152" s="43"/>
      <c r="N152" s="31"/>
      <c r="O152" s="43"/>
    </row>
    <row r="153" spans="3:15" ht="12.5" x14ac:dyDescent="0.25">
      <c r="C153" s="31"/>
      <c r="I153" s="43"/>
      <c r="J153" s="43"/>
      <c r="K153" s="43"/>
      <c r="N153" s="31"/>
      <c r="O153" s="43"/>
    </row>
    <row r="154" spans="3:15" ht="12.5" x14ac:dyDescent="0.25">
      <c r="C154" s="31"/>
      <c r="I154" s="43"/>
      <c r="J154" s="43"/>
      <c r="K154" s="43"/>
      <c r="N154" s="31"/>
      <c r="O154" s="43"/>
    </row>
    <row r="155" spans="3:15" ht="12.5" x14ac:dyDescent="0.25">
      <c r="C155" s="31"/>
      <c r="I155" s="43"/>
      <c r="J155" s="43"/>
      <c r="K155" s="43"/>
      <c r="N155" s="31"/>
      <c r="O155" s="43"/>
    </row>
    <row r="156" spans="3:15" ht="12.5" x14ac:dyDescent="0.25">
      <c r="C156" s="31"/>
      <c r="I156" s="43"/>
      <c r="J156" s="43"/>
      <c r="K156" s="43"/>
      <c r="N156" s="31"/>
      <c r="O156" s="43"/>
    </row>
    <row r="157" spans="3:15" ht="12.5" x14ac:dyDescent="0.25">
      <c r="C157" s="31"/>
      <c r="I157" s="43"/>
      <c r="J157" s="43"/>
      <c r="K157" s="43"/>
      <c r="N157" s="31"/>
      <c r="O157" s="43"/>
    </row>
    <row r="158" spans="3:15" ht="12.5" x14ac:dyDescent="0.25">
      <c r="C158" s="31"/>
      <c r="I158" s="43"/>
      <c r="J158" s="43"/>
      <c r="K158" s="43"/>
      <c r="N158" s="31"/>
      <c r="O158" s="43"/>
    </row>
    <row r="159" spans="3:15" ht="12.5" x14ac:dyDescent="0.25">
      <c r="C159" s="31"/>
      <c r="I159" s="43"/>
      <c r="J159" s="43"/>
      <c r="K159" s="43"/>
      <c r="N159" s="31"/>
      <c r="O159" s="43"/>
    </row>
    <row r="160" spans="3:15" ht="12.5" x14ac:dyDescent="0.25">
      <c r="C160" s="31"/>
      <c r="I160" s="43"/>
      <c r="J160" s="43"/>
      <c r="K160" s="43"/>
      <c r="N160" s="31"/>
      <c r="O160" s="43"/>
    </row>
    <row r="161" spans="3:15" ht="12.5" x14ac:dyDescent="0.25">
      <c r="C161" s="31"/>
      <c r="I161" s="43"/>
      <c r="J161" s="43"/>
      <c r="K161" s="43"/>
      <c r="N161" s="31"/>
      <c r="O161" s="43"/>
    </row>
    <row r="162" spans="3:15" ht="12.5" x14ac:dyDescent="0.25">
      <c r="C162" s="31"/>
      <c r="I162" s="43"/>
      <c r="J162" s="43"/>
      <c r="K162" s="43"/>
      <c r="N162" s="31"/>
      <c r="O162" s="43"/>
    </row>
    <row r="163" spans="3:15" ht="12.5" x14ac:dyDescent="0.25">
      <c r="C163" s="31"/>
      <c r="I163" s="43"/>
      <c r="J163" s="43"/>
      <c r="K163" s="43"/>
      <c r="N163" s="31"/>
      <c r="O163" s="43"/>
    </row>
    <row r="164" spans="3:15" ht="12.5" x14ac:dyDescent="0.25">
      <c r="C164" s="31"/>
      <c r="I164" s="43"/>
      <c r="J164" s="43"/>
      <c r="K164" s="43"/>
      <c r="N164" s="31"/>
      <c r="O164" s="43"/>
    </row>
    <row r="165" spans="3:15" ht="12.5" x14ac:dyDescent="0.25">
      <c r="C165" s="31"/>
      <c r="I165" s="43"/>
      <c r="J165" s="43"/>
      <c r="K165" s="43"/>
      <c r="N165" s="31"/>
      <c r="O165" s="43"/>
    </row>
    <row r="166" spans="3:15" ht="12.5" x14ac:dyDescent="0.25">
      <c r="C166" s="31"/>
      <c r="I166" s="43"/>
      <c r="J166" s="43"/>
      <c r="K166" s="43"/>
      <c r="N166" s="31"/>
      <c r="O166" s="43"/>
    </row>
    <row r="167" spans="3:15" ht="12.5" x14ac:dyDescent="0.25">
      <c r="C167" s="31"/>
      <c r="I167" s="43"/>
      <c r="J167" s="43"/>
      <c r="K167" s="43"/>
      <c r="N167" s="31"/>
      <c r="O167" s="43"/>
    </row>
    <row r="168" spans="3:15" ht="12.5" x14ac:dyDescent="0.25">
      <c r="C168" s="31"/>
      <c r="I168" s="43"/>
      <c r="J168" s="43"/>
      <c r="K168" s="43"/>
      <c r="N168" s="31"/>
      <c r="O168" s="43"/>
    </row>
    <row r="169" spans="3:15" ht="12.5" x14ac:dyDescent="0.25">
      <c r="C169" s="31"/>
      <c r="I169" s="43"/>
      <c r="J169" s="43"/>
      <c r="K169" s="43"/>
      <c r="N169" s="31"/>
      <c r="O169" s="43"/>
    </row>
    <row r="170" spans="3:15" ht="12.5" x14ac:dyDescent="0.25">
      <c r="C170" s="31"/>
      <c r="I170" s="43"/>
      <c r="J170" s="43"/>
      <c r="K170" s="43"/>
      <c r="N170" s="31"/>
      <c r="O170" s="43"/>
    </row>
    <row r="171" spans="3:15" ht="12.5" x14ac:dyDescent="0.25">
      <c r="C171" s="31"/>
      <c r="I171" s="43"/>
      <c r="J171" s="43"/>
      <c r="K171" s="43"/>
      <c r="N171" s="31"/>
      <c r="O171" s="43"/>
    </row>
    <row r="172" spans="3:15" ht="12.5" x14ac:dyDescent="0.25">
      <c r="C172" s="31"/>
      <c r="I172" s="43"/>
      <c r="J172" s="43"/>
      <c r="K172" s="43"/>
      <c r="N172" s="31"/>
      <c r="O172" s="43"/>
    </row>
    <row r="173" spans="3:15" ht="12.5" x14ac:dyDescent="0.25">
      <c r="C173" s="31"/>
      <c r="I173" s="43"/>
      <c r="J173" s="43"/>
      <c r="K173" s="43"/>
      <c r="N173" s="31"/>
      <c r="O173" s="43"/>
    </row>
    <row r="174" spans="3:15" ht="12.5" x14ac:dyDescent="0.25">
      <c r="C174" s="31"/>
      <c r="I174" s="43"/>
      <c r="J174" s="43"/>
      <c r="K174" s="43"/>
      <c r="N174" s="31"/>
      <c r="O174" s="43"/>
    </row>
    <row r="175" spans="3:15" ht="12.5" x14ac:dyDescent="0.25">
      <c r="C175" s="31"/>
      <c r="I175" s="43"/>
      <c r="J175" s="43"/>
      <c r="K175" s="43"/>
      <c r="N175" s="31"/>
      <c r="O175" s="43"/>
    </row>
    <row r="176" spans="3:15" ht="12.5" x14ac:dyDescent="0.25">
      <c r="C176" s="31"/>
      <c r="I176" s="43"/>
      <c r="J176" s="43"/>
      <c r="K176" s="43"/>
      <c r="N176" s="31"/>
      <c r="O176" s="43"/>
    </row>
    <row r="177" spans="3:15" ht="12.5" x14ac:dyDescent="0.25">
      <c r="C177" s="31"/>
      <c r="I177" s="43"/>
      <c r="J177" s="43"/>
      <c r="K177" s="43"/>
      <c r="N177" s="31"/>
      <c r="O177" s="43"/>
    </row>
    <row r="178" spans="3:15" ht="12.5" x14ac:dyDescent="0.25">
      <c r="C178" s="31"/>
      <c r="I178" s="43"/>
      <c r="J178" s="43"/>
      <c r="K178" s="43"/>
      <c r="N178" s="31"/>
      <c r="O178" s="43"/>
    </row>
    <row r="179" spans="3:15" ht="12.5" x14ac:dyDescent="0.25">
      <c r="C179" s="31"/>
      <c r="I179" s="43"/>
      <c r="J179" s="43"/>
      <c r="K179" s="43"/>
      <c r="N179" s="31"/>
      <c r="O179" s="43"/>
    </row>
    <row r="180" spans="3:15" ht="12.5" x14ac:dyDescent="0.25">
      <c r="C180" s="31"/>
      <c r="I180" s="43"/>
      <c r="J180" s="43"/>
      <c r="K180" s="43"/>
      <c r="N180" s="31"/>
      <c r="O180" s="43"/>
    </row>
    <row r="181" spans="3:15" ht="12.5" x14ac:dyDescent="0.25">
      <c r="C181" s="31"/>
      <c r="I181" s="43"/>
      <c r="J181" s="43"/>
      <c r="K181" s="43"/>
      <c r="N181" s="31"/>
      <c r="O181" s="43"/>
    </row>
    <row r="182" spans="3:15" ht="12.5" x14ac:dyDescent="0.25">
      <c r="C182" s="31"/>
      <c r="I182" s="43"/>
      <c r="J182" s="43"/>
      <c r="K182" s="43"/>
      <c r="N182" s="31"/>
      <c r="O182" s="43"/>
    </row>
    <row r="183" spans="3:15" ht="12.5" x14ac:dyDescent="0.25">
      <c r="C183" s="31"/>
      <c r="I183" s="43"/>
      <c r="J183" s="43"/>
      <c r="K183" s="43"/>
      <c r="N183" s="31"/>
      <c r="O183" s="43"/>
    </row>
    <row r="184" spans="3:15" ht="12.5" x14ac:dyDescent="0.25">
      <c r="C184" s="31"/>
      <c r="I184" s="43"/>
      <c r="J184" s="43"/>
      <c r="K184" s="43"/>
      <c r="N184" s="31"/>
      <c r="O184" s="43"/>
    </row>
    <row r="185" spans="3:15" ht="12.5" x14ac:dyDescent="0.25">
      <c r="C185" s="31"/>
      <c r="I185" s="43"/>
      <c r="J185" s="43"/>
      <c r="K185" s="43"/>
      <c r="N185" s="31"/>
      <c r="O185" s="43"/>
    </row>
    <row r="186" spans="3:15" ht="12.5" x14ac:dyDescent="0.25">
      <c r="C186" s="31"/>
      <c r="I186" s="43"/>
      <c r="J186" s="43"/>
      <c r="K186" s="43"/>
      <c r="N186" s="31"/>
      <c r="O186" s="43"/>
    </row>
    <row r="187" spans="3:15" ht="12.5" x14ac:dyDescent="0.25">
      <c r="C187" s="31"/>
      <c r="I187" s="43"/>
      <c r="J187" s="43"/>
      <c r="K187" s="43"/>
      <c r="N187" s="31"/>
      <c r="O187" s="43"/>
    </row>
    <row r="188" spans="3:15" ht="12.5" x14ac:dyDescent="0.25">
      <c r="C188" s="31"/>
      <c r="I188" s="43"/>
      <c r="J188" s="43"/>
      <c r="K188" s="43"/>
      <c r="N188" s="31"/>
      <c r="O188" s="43"/>
    </row>
    <row r="189" spans="3:15" ht="12.5" x14ac:dyDescent="0.25">
      <c r="C189" s="31"/>
      <c r="I189" s="43"/>
      <c r="J189" s="43"/>
      <c r="K189" s="43"/>
      <c r="N189" s="31"/>
      <c r="O189" s="43"/>
    </row>
    <row r="190" spans="3:15" ht="12.5" x14ac:dyDescent="0.25">
      <c r="C190" s="31"/>
      <c r="I190" s="43"/>
      <c r="J190" s="43"/>
      <c r="K190" s="43"/>
      <c r="N190" s="31"/>
      <c r="O190" s="43"/>
    </row>
    <row r="191" spans="3:15" ht="12.5" x14ac:dyDescent="0.25">
      <c r="C191" s="31"/>
      <c r="I191" s="43"/>
      <c r="J191" s="43"/>
      <c r="K191" s="43"/>
      <c r="N191" s="31"/>
      <c r="O191" s="43"/>
    </row>
    <row r="192" spans="3:15" ht="12.5" x14ac:dyDescent="0.25">
      <c r="C192" s="31"/>
      <c r="I192" s="43"/>
      <c r="J192" s="43"/>
      <c r="K192" s="43"/>
      <c r="N192" s="31"/>
      <c r="O192" s="43"/>
    </row>
    <row r="193" spans="3:15" ht="12.5" x14ac:dyDescent="0.25">
      <c r="C193" s="31"/>
      <c r="I193" s="43"/>
      <c r="J193" s="43"/>
      <c r="K193" s="43"/>
      <c r="N193" s="31"/>
      <c r="O193" s="43"/>
    </row>
    <row r="194" spans="3:15" ht="12.5" x14ac:dyDescent="0.25">
      <c r="C194" s="31"/>
      <c r="I194" s="43"/>
      <c r="J194" s="43"/>
      <c r="K194" s="43"/>
      <c r="N194" s="31"/>
      <c r="O194" s="43"/>
    </row>
    <row r="195" spans="3:15" ht="12.5" x14ac:dyDescent="0.25">
      <c r="C195" s="31"/>
      <c r="I195" s="43"/>
      <c r="J195" s="43"/>
      <c r="K195" s="43"/>
      <c r="N195" s="31"/>
      <c r="O195" s="43"/>
    </row>
    <row r="196" spans="3:15" ht="12.5" x14ac:dyDescent="0.25">
      <c r="C196" s="31"/>
      <c r="I196" s="43"/>
      <c r="J196" s="43"/>
      <c r="K196" s="43"/>
      <c r="N196" s="31"/>
      <c r="O196" s="43"/>
    </row>
    <row r="197" spans="3:15" ht="12.5" x14ac:dyDescent="0.25">
      <c r="C197" s="31"/>
      <c r="I197" s="43"/>
      <c r="J197" s="43"/>
      <c r="K197" s="43"/>
      <c r="N197" s="31"/>
      <c r="O197" s="43"/>
    </row>
    <row r="198" spans="3:15" ht="12.5" x14ac:dyDescent="0.25">
      <c r="C198" s="31"/>
      <c r="I198" s="43"/>
      <c r="J198" s="43"/>
      <c r="K198" s="43"/>
      <c r="N198" s="31"/>
      <c r="O198" s="43"/>
    </row>
    <row r="199" spans="3:15" ht="12.5" x14ac:dyDescent="0.25">
      <c r="C199" s="31"/>
      <c r="I199" s="43"/>
      <c r="J199" s="43"/>
      <c r="K199" s="43"/>
      <c r="N199" s="31"/>
      <c r="O199" s="43"/>
    </row>
    <row r="200" spans="3:15" ht="12.5" x14ac:dyDescent="0.25">
      <c r="C200" s="31"/>
      <c r="I200" s="43"/>
      <c r="J200" s="43"/>
      <c r="K200" s="43"/>
      <c r="N200" s="31"/>
      <c r="O200" s="43"/>
    </row>
    <row r="201" spans="3:15" ht="12.5" x14ac:dyDescent="0.25">
      <c r="C201" s="31"/>
      <c r="I201" s="43"/>
      <c r="J201" s="43"/>
      <c r="K201" s="43"/>
      <c r="N201" s="31"/>
      <c r="O201" s="43"/>
    </row>
    <row r="202" spans="3:15" ht="12.5" x14ac:dyDescent="0.25">
      <c r="C202" s="31"/>
      <c r="I202" s="43"/>
      <c r="J202" s="43"/>
      <c r="K202" s="43"/>
      <c r="N202" s="31"/>
      <c r="O202" s="43"/>
    </row>
    <row r="203" spans="3:15" ht="12.5" x14ac:dyDescent="0.25">
      <c r="C203" s="31"/>
      <c r="I203" s="43"/>
      <c r="J203" s="43"/>
      <c r="K203" s="43"/>
      <c r="N203" s="31"/>
      <c r="O203" s="43"/>
    </row>
    <row r="204" spans="3:15" ht="12.5" x14ac:dyDescent="0.25">
      <c r="C204" s="31"/>
      <c r="I204" s="43"/>
      <c r="J204" s="43"/>
      <c r="K204" s="43"/>
      <c r="N204" s="31"/>
      <c r="O204" s="43"/>
    </row>
    <row r="205" spans="3:15" ht="12.5" x14ac:dyDescent="0.25">
      <c r="C205" s="31"/>
      <c r="I205" s="43"/>
      <c r="J205" s="43"/>
      <c r="K205" s="43"/>
      <c r="N205" s="31"/>
      <c r="O205" s="43"/>
    </row>
    <row r="206" spans="3:15" ht="12.5" x14ac:dyDescent="0.25">
      <c r="C206" s="31"/>
      <c r="I206" s="43"/>
      <c r="J206" s="43"/>
      <c r="K206" s="43"/>
      <c r="N206" s="31"/>
      <c r="O206" s="43"/>
    </row>
    <row r="207" spans="3:15" ht="12.5" x14ac:dyDescent="0.25">
      <c r="C207" s="31"/>
      <c r="I207" s="43"/>
      <c r="J207" s="43"/>
      <c r="K207" s="43"/>
      <c r="N207" s="31"/>
      <c r="O207" s="43"/>
    </row>
    <row r="208" spans="3:15" ht="12.5" x14ac:dyDescent="0.25">
      <c r="C208" s="31"/>
      <c r="I208" s="43"/>
      <c r="J208" s="43"/>
      <c r="K208" s="43"/>
      <c r="N208" s="31"/>
      <c r="O208" s="43"/>
    </row>
    <row r="209" spans="3:15" ht="12.5" x14ac:dyDescent="0.25">
      <c r="C209" s="31"/>
      <c r="I209" s="43"/>
      <c r="J209" s="43"/>
      <c r="K209" s="43"/>
      <c r="N209" s="31"/>
      <c r="O209" s="43"/>
    </row>
    <row r="210" spans="3:15" ht="12.5" x14ac:dyDescent="0.25">
      <c r="C210" s="31"/>
      <c r="I210" s="43"/>
      <c r="J210" s="43"/>
      <c r="K210" s="43"/>
      <c r="N210" s="31"/>
      <c r="O210" s="43"/>
    </row>
    <row r="211" spans="3:15" ht="12.5" x14ac:dyDescent="0.25">
      <c r="C211" s="31"/>
      <c r="I211" s="43"/>
      <c r="J211" s="43"/>
      <c r="K211" s="43"/>
      <c r="N211" s="31"/>
      <c r="O211" s="43"/>
    </row>
    <row r="212" spans="3:15" ht="12.5" x14ac:dyDescent="0.25">
      <c r="C212" s="31"/>
      <c r="I212" s="43"/>
      <c r="J212" s="43"/>
      <c r="K212" s="43"/>
      <c r="N212" s="31"/>
      <c r="O212" s="43"/>
    </row>
    <row r="213" spans="3:15" ht="12.5" x14ac:dyDescent="0.25">
      <c r="C213" s="31"/>
      <c r="I213" s="43"/>
      <c r="J213" s="43"/>
      <c r="K213" s="43"/>
      <c r="N213" s="31"/>
      <c r="O213" s="43"/>
    </row>
    <row r="214" spans="3:15" ht="12.5" x14ac:dyDescent="0.25">
      <c r="C214" s="31"/>
      <c r="I214" s="43"/>
      <c r="J214" s="43"/>
      <c r="K214" s="43"/>
      <c r="N214" s="31"/>
      <c r="O214" s="43"/>
    </row>
    <row r="215" spans="3:15" ht="12.5" x14ac:dyDescent="0.25">
      <c r="C215" s="31"/>
      <c r="I215" s="43"/>
      <c r="J215" s="43"/>
      <c r="K215" s="43"/>
      <c r="N215" s="31"/>
      <c r="O215" s="43"/>
    </row>
    <row r="216" spans="3:15" ht="12.5" x14ac:dyDescent="0.25">
      <c r="C216" s="31"/>
      <c r="I216" s="43"/>
      <c r="J216" s="43"/>
      <c r="K216" s="43"/>
      <c r="N216" s="31"/>
      <c r="O216" s="43"/>
    </row>
    <row r="217" spans="3:15" ht="12.5" x14ac:dyDescent="0.25">
      <c r="C217" s="31"/>
      <c r="I217" s="43"/>
      <c r="J217" s="43"/>
      <c r="K217" s="43"/>
      <c r="N217" s="31"/>
      <c r="O217" s="43"/>
    </row>
    <row r="218" spans="3:15" ht="12.5" x14ac:dyDescent="0.25">
      <c r="C218" s="31"/>
      <c r="I218" s="43"/>
      <c r="J218" s="43"/>
      <c r="K218" s="43"/>
      <c r="N218" s="31"/>
      <c r="O218" s="43"/>
    </row>
    <row r="219" spans="3:15" ht="12.5" x14ac:dyDescent="0.25">
      <c r="C219" s="31"/>
      <c r="I219" s="43"/>
      <c r="J219" s="43"/>
      <c r="K219" s="43"/>
      <c r="N219" s="31"/>
      <c r="O219" s="43"/>
    </row>
    <row r="220" spans="3:15" ht="12.5" x14ac:dyDescent="0.25">
      <c r="C220" s="31"/>
      <c r="I220" s="43"/>
      <c r="J220" s="43"/>
      <c r="K220" s="43"/>
      <c r="N220" s="31"/>
      <c r="O220" s="43"/>
    </row>
    <row r="221" spans="3:15" ht="12.5" x14ac:dyDescent="0.25">
      <c r="C221" s="31"/>
      <c r="I221" s="43"/>
      <c r="J221" s="43"/>
      <c r="K221" s="43"/>
      <c r="N221" s="31"/>
      <c r="O221" s="43"/>
    </row>
    <row r="222" spans="3:15" ht="12.5" x14ac:dyDescent="0.25">
      <c r="C222" s="31"/>
      <c r="I222" s="43"/>
      <c r="J222" s="43"/>
      <c r="K222" s="43"/>
      <c r="N222" s="31"/>
      <c r="O222" s="43"/>
    </row>
    <row r="223" spans="3:15" ht="12.5" x14ac:dyDescent="0.25">
      <c r="C223" s="31"/>
      <c r="I223" s="43"/>
      <c r="J223" s="43"/>
      <c r="K223" s="43"/>
      <c r="N223" s="31"/>
      <c r="O223" s="43"/>
    </row>
    <row r="224" spans="3:15" ht="12.5" x14ac:dyDescent="0.25">
      <c r="C224" s="31"/>
      <c r="I224" s="43"/>
      <c r="J224" s="43"/>
      <c r="K224" s="43"/>
      <c r="N224" s="31"/>
      <c r="O224" s="43"/>
    </row>
    <row r="225" spans="3:15" ht="12.5" x14ac:dyDescent="0.25">
      <c r="C225" s="31"/>
      <c r="I225" s="43"/>
      <c r="J225" s="43"/>
      <c r="K225" s="43"/>
      <c r="N225" s="31"/>
      <c r="O225" s="43"/>
    </row>
    <row r="226" spans="3:15" ht="12.5" x14ac:dyDescent="0.25">
      <c r="C226" s="31"/>
      <c r="I226" s="43"/>
      <c r="J226" s="43"/>
      <c r="K226" s="43"/>
      <c r="N226" s="31"/>
      <c r="O226" s="43"/>
    </row>
    <row r="227" spans="3:15" ht="12.5" x14ac:dyDescent="0.25">
      <c r="C227" s="31"/>
      <c r="I227" s="43"/>
      <c r="J227" s="43"/>
      <c r="K227" s="43"/>
      <c r="N227" s="31"/>
      <c r="O227" s="43"/>
    </row>
    <row r="228" spans="3:15" ht="12.5" x14ac:dyDescent="0.25">
      <c r="C228" s="31"/>
      <c r="I228" s="43"/>
      <c r="J228" s="43"/>
      <c r="K228" s="43"/>
      <c r="N228" s="31"/>
      <c r="O228" s="43"/>
    </row>
    <row r="229" spans="3:15" ht="12.5" x14ac:dyDescent="0.25">
      <c r="C229" s="31"/>
      <c r="I229" s="43"/>
      <c r="J229" s="43"/>
      <c r="K229" s="43"/>
      <c r="N229" s="31"/>
      <c r="O229" s="43"/>
    </row>
    <row r="230" spans="3:15" ht="12.5" x14ac:dyDescent="0.25">
      <c r="C230" s="31"/>
      <c r="I230" s="43"/>
      <c r="J230" s="43"/>
      <c r="K230" s="43"/>
      <c r="N230" s="31"/>
      <c r="O230" s="43"/>
    </row>
    <row r="231" spans="3:15" ht="12.5" x14ac:dyDescent="0.25">
      <c r="C231" s="31"/>
      <c r="I231" s="43"/>
      <c r="J231" s="43"/>
      <c r="K231" s="43"/>
      <c r="N231" s="31"/>
      <c r="O231" s="43"/>
    </row>
    <row r="232" spans="3:15" ht="12.5" x14ac:dyDescent="0.25">
      <c r="C232" s="31"/>
      <c r="I232" s="43"/>
      <c r="J232" s="43"/>
      <c r="K232" s="43"/>
      <c r="N232" s="31"/>
      <c r="O232" s="43"/>
    </row>
    <row r="233" spans="3:15" ht="12.5" x14ac:dyDescent="0.25">
      <c r="C233" s="31"/>
      <c r="I233" s="43"/>
      <c r="J233" s="43"/>
      <c r="K233" s="43"/>
      <c r="N233" s="31"/>
      <c r="O233" s="43"/>
    </row>
    <row r="234" spans="3:15" ht="12.5" x14ac:dyDescent="0.25">
      <c r="C234" s="31"/>
      <c r="I234" s="43"/>
      <c r="J234" s="43"/>
      <c r="K234" s="43"/>
      <c r="N234" s="31"/>
      <c r="O234" s="43"/>
    </row>
    <row r="235" spans="3:15" ht="12.5" x14ac:dyDescent="0.25">
      <c r="C235" s="31"/>
      <c r="I235" s="43"/>
      <c r="J235" s="43"/>
      <c r="K235" s="43"/>
      <c r="N235" s="31"/>
      <c r="O235" s="43"/>
    </row>
    <row r="236" spans="3:15" ht="12.5" x14ac:dyDescent="0.25">
      <c r="C236" s="31"/>
      <c r="I236" s="43"/>
      <c r="J236" s="43"/>
      <c r="K236" s="43"/>
      <c r="N236" s="31"/>
      <c r="O236" s="43"/>
    </row>
    <row r="237" spans="3:15" ht="12.5" x14ac:dyDescent="0.25">
      <c r="C237" s="31"/>
      <c r="I237" s="43"/>
      <c r="J237" s="43"/>
      <c r="K237" s="43"/>
      <c r="N237" s="31"/>
      <c r="O237" s="43"/>
    </row>
    <row r="238" spans="3:15" ht="12.5" x14ac:dyDescent="0.25">
      <c r="C238" s="31"/>
      <c r="I238" s="43"/>
      <c r="J238" s="43"/>
      <c r="K238" s="43"/>
      <c r="N238" s="31"/>
      <c r="O238" s="43"/>
    </row>
    <row r="239" spans="3:15" ht="12.5" x14ac:dyDescent="0.25">
      <c r="C239" s="31"/>
      <c r="I239" s="43"/>
      <c r="J239" s="43"/>
      <c r="K239" s="43"/>
      <c r="N239" s="31"/>
      <c r="O239" s="43"/>
    </row>
    <row r="240" spans="3:15" ht="12.5" x14ac:dyDescent="0.25">
      <c r="C240" s="31"/>
      <c r="I240" s="43"/>
      <c r="J240" s="43"/>
      <c r="K240" s="43"/>
      <c r="N240" s="31"/>
      <c r="O240" s="43"/>
    </row>
    <row r="241" spans="3:15" ht="12.5" x14ac:dyDescent="0.25">
      <c r="C241" s="31"/>
      <c r="I241" s="43"/>
      <c r="J241" s="43"/>
      <c r="K241" s="43"/>
      <c r="N241" s="31"/>
      <c r="O241" s="43"/>
    </row>
    <row r="242" spans="3:15" ht="12.5" x14ac:dyDescent="0.25">
      <c r="C242" s="31"/>
      <c r="I242" s="43"/>
      <c r="J242" s="43"/>
      <c r="K242" s="43"/>
      <c r="N242" s="31"/>
      <c r="O242" s="43"/>
    </row>
    <row r="243" spans="3:15" ht="12.5" x14ac:dyDescent="0.25">
      <c r="C243" s="31"/>
      <c r="I243" s="43"/>
      <c r="J243" s="43"/>
      <c r="K243" s="43"/>
      <c r="N243" s="31"/>
      <c r="O243" s="43"/>
    </row>
    <row r="244" spans="3:15" ht="12.5" x14ac:dyDescent="0.25">
      <c r="C244" s="31"/>
      <c r="I244" s="43"/>
      <c r="J244" s="43"/>
      <c r="K244" s="43"/>
      <c r="N244" s="31"/>
      <c r="O244" s="43"/>
    </row>
    <row r="245" spans="3:15" ht="12.5" x14ac:dyDescent="0.25">
      <c r="C245" s="31"/>
      <c r="I245" s="43"/>
      <c r="J245" s="43"/>
      <c r="K245" s="43"/>
      <c r="N245" s="31"/>
      <c r="O245" s="43"/>
    </row>
    <row r="246" spans="3:15" ht="12.5" x14ac:dyDescent="0.25">
      <c r="C246" s="31"/>
      <c r="I246" s="43"/>
      <c r="J246" s="43"/>
      <c r="K246" s="43"/>
      <c r="N246" s="31"/>
      <c r="O246" s="43"/>
    </row>
    <row r="247" spans="3:15" ht="12.5" x14ac:dyDescent="0.25">
      <c r="C247" s="31"/>
      <c r="I247" s="43"/>
      <c r="J247" s="43"/>
      <c r="K247" s="43"/>
      <c r="N247" s="31"/>
      <c r="O247" s="43"/>
    </row>
    <row r="248" spans="3:15" ht="12.5" x14ac:dyDescent="0.25">
      <c r="C248" s="31"/>
      <c r="I248" s="43"/>
      <c r="J248" s="43"/>
      <c r="K248" s="43"/>
      <c r="N248" s="31"/>
      <c r="O248" s="43"/>
    </row>
    <row r="249" spans="3:15" ht="12.5" x14ac:dyDescent="0.25">
      <c r="C249" s="31"/>
      <c r="I249" s="43"/>
      <c r="J249" s="43"/>
      <c r="K249" s="43"/>
      <c r="N249" s="31"/>
      <c r="O249" s="43"/>
    </row>
    <row r="250" spans="3:15" ht="12.5" x14ac:dyDescent="0.25">
      <c r="C250" s="31"/>
      <c r="I250" s="43"/>
      <c r="J250" s="43"/>
      <c r="K250" s="43"/>
      <c r="N250" s="31"/>
      <c r="O250" s="43"/>
    </row>
    <row r="251" spans="3:15" ht="12.5" x14ac:dyDescent="0.25">
      <c r="C251" s="31"/>
      <c r="I251" s="43"/>
      <c r="J251" s="43"/>
      <c r="K251" s="43"/>
      <c r="N251" s="31"/>
      <c r="O251" s="43"/>
    </row>
    <row r="252" spans="3:15" ht="12.5" x14ac:dyDescent="0.25">
      <c r="C252" s="31"/>
      <c r="I252" s="43"/>
      <c r="J252" s="43"/>
      <c r="K252" s="43"/>
      <c r="N252" s="31"/>
      <c r="O252" s="43"/>
    </row>
    <row r="253" spans="3:15" ht="12.5" x14ac:dyDescent="0.25">
      <c r="C253" s="31"/>
      <c r="I253" s="43"/>
      <c r="J253" s="43"/>
      <c r="K253" s="43"/>
      <c r="N253" s="31"/>
      <c r="O253" s="43"/>
    </row>
    <row r="254" spans="3:15" ht="12.5" x14ac:dyDescent="0.25">
      <c r="C254" s="31"/>
      <c r="I254" s="43"/>
      <c r="J254" s="43"/>
      <c r="K254" s="43"/>
      <c r="N254" s="31"/>
      <c r="O254" s="43"/>
    </row>
    <row r="255" spans="3:15" ht="12.5" x14ac:dyDescent="0.25">
      <c r="C255" s="31"/>
      <c r="I255" s="43"/>
      <c r="J255" s="43"/>
      <c r="K255" s="43"/>
      <c r="N255" s="31"/>
      <c r="O255" s="43"/>
    </row>
    <row r="256" spans="3:15" ht="12.5" x14ac:dyDescent="0.25">
      <c r="C256" s="31"/>
      <c r="I256" s="43"/>
      <c r="J256" s="43"/>
      <c r="K256" s="43"/>
      <c r="N256" s="31"/>
      <c r="O256" s="43"/>
    </row>
    <row r="257" spans="3:15" ht="12.5" x14ac:dyDescent="0.25">
      <c r="C257" s="31"/>
      <c r="I257" s="43"/>
      <c r="J257" s="43"/>
      <c r="K257" s="43"/>
      <c r="N257" s="31"/>
      <c r="O257" s="43"/>
    </row>
    <row r="258" spans="3:15" ht="12.5" x14ac:dyDescent="0.25">
      <c r="C258" s="31"/>
      <c r="I258" s="43"/>
      <c r="J258" s="43"/>
      <c r="K258" s="43"/>
      <c r="N258" s="31"/>
      <c r="O258" s="43"/>
    </row>
    <row r="259" spans="3:15" ht="12.5" x14ac:dyDescent="0.25">
      <c r="C259" s="31"/>
      <c r="I259" s="43"/>
      <c r="J259" s="43"/>
      <c r="K259" s="43"/>
      <c r="N259" s="31"/>
      <c r="O259" s="43"/>
    </row>
    <row r="260" spans="3:15" ht="12.5" x14ac:dyDescent="0.25">
      <c r="C260" s="31"/>
      <c r="I260" s="43"/>
      <c r="J260" s="43"/>
      <c r="K260" s="43"/>
      <c r="N260" s="31"/>
      <c r="O260" s="43"/>
    </row>
    <row r="261" spans="3:15" ht="12.5" x14ac:dyDescent="0.25">
      <c r="C261" s="31"/>
      <c r="I261" s="43"/>
      <c r="J261" s="43"/>
      <c r="K261" s="43"/>
      <c r="N261" s="31"/>
      <c r="O261" s="43"/>
    </row>
    <row r="262" spans="3:15" ht="12.5" x14ac:dyDescent="0.25">
      <c r="C262" s="31"/>
      <c r="I262" s="43"/>
      <c r="J262" s="43"/>
      <c r="K262" s="43"/>
      <c r="N262" s="31"/>
      <c r="O262" s="43"/>
    </row>
    <row r="263" spans="3:15" ht="12.5" x14ac:dyDescent="0.25">
      <c r="C263" s="31"/>
      <c r="I263" s="43"/>
      <c r="J263" s="43"/>
      <c r="K263" s="43"/>
      <c r="N263" s="31"/>
      <c r="O263" s="43"/>
    </row>
    <row r="264" spans="3:15" ht="12.5" x14ac:dyDescent="0.25">
      <c r="C264" s="31"/>
      <c r="I264" s="43"/>
      <c r="J264" s="43"/>
      <c r="K264" s="43"/>
      <c r="N264" s="31"/>
      <c r="O264" s="43"/>
    </row>
    <row r="265" spans="3:15" ht="12.5" x14ac:dyDescent="0.25">
      <c r="C265" s="31"/>
      <c r="I265" s="43"/>
      <c r="J265" s="43"/>
      <c r="K265" s="43"/>
      <c r="N265" s="31"/>
      <c r="O265" s="43"/>
    </row>
    <row r="266" spans="3:15" ht="12.5" x14ac:dyDescent="0.25">
      <c r="C266" s="31"/>
      <c r="I266" s="43"/>
      <c r="J266" s="43"/>
      <c r="K266" s="43"/>
      <c r="N266" s="31"/>
      <c r="O266" s="43"/>
    </row>
    <row r="267" spans="3:15" ht="12.5" x14ac:dyDescent="0.25">
      <c r="C267" s="31"/>
      <c r="I267" s="43"/>
      <c r="J267" s="43"/>
      <c r="K267" s="43"/>
      <c r="N267" s="31"/>
      <c r="O267" s="43"/>
    </row>
    <row r="268" spans="3:15" ht="12.5" x14ac:dyDescent="0.25">
      <c r="C268" s="31"/>
      <c r="I268" s="43"/>
      <c r="J268" s="43"/>
      <c r="K268" s="43"/>
      <c r="N268" s="31"/>
      <c r="O268" s="43"/>
    </row>
    <row r="269" spans="3:15" ht="12.5" x14ac:dyDescent="0.25">
      <c r="C269" s="31"/>
      <c r="I269" s="43"/>
      <c r="J269" s="43"/>
      <c r="K269" s="43"/>
      <c r="N269" s="31"/>
      <c r="O269" s="43"/>
    </row>
    <row r="270" spans="3:15" ht="12.5" x14ac:dyDescent="0.25">
      <c r="C270" s="31"/>
      <c r="I270" s="43"/>
      <c r="J270" s="43"/>
      <c r="K270" s="43"/>
      <c r="N270" s="31"/>
      <c r="O270" s="43"/>
    </row>
    <row r="271" spans="3:15" ht="12.5" x14ac:dyDescent="0.25">
      <c r="C271" s="31"/>
      <c r="I271" s="43"/>
      <c r="J271" s="43"/>
      <c r="K271" s="43"/>
      <c r="N271" s="31"/>
      <c r="O271" s="43"/>
    </row>
    <row r="272" spans="3:15" ht="12.5" x14ac:dyDescent="0.25">
      <c r="C272" s="31"/>
      <c r="I272" s="43"/>
      <c r="J272" s="43"/>
      <c r="K272" s="43"/>
      <c r="N272" s="31"/>
      <c r="O272" s="43"/>
    </row>
    <row r="273" spans="3:15" ht="12.5" x14ac:dyDescent="0.25">
      <c r="C273" s="31"/>
      <c r="I273" s="43"/>
      <c r="J273" s="43"/>
      <c r="K273" s="43"/>
      <c r="N273" s="31"/>
      <c r="O273" s="43"/>
    </row>
    <row r="274" spans="3:15" ht="12.5" x14ac:dyDescent="0.25">
      <c r="C274" s="31"/>
      <c r="I274" s="43"/>
      <c r="J274" s="43"/>
      <c r="K274" s="43"/>
      <c r="N274" s="31"/>
      <c r="O274" s="43"/>
    </row>
    <row r="275" spans="3:15" ht="12.5" x14ac:dyDescent="0.25">
      <c r="C275" s="31"/>
      <c r="I275" s="43"/>
      <c r="J275" s="43"/>
      <c r="K275" s="43"/>
      <c r="N275" s="31"/>
      <c r="O275" s="43"/>
    </row>
    <row r="276" spans="3:15" ht="12.5" x14ac:dyDescent="0.25">
      <c r="C276" s="31"/>
      <c r="I276" s="43"/>
      <c r="J276" s="43"/>
      <c r="K276" s="43"/>
      <c r="N276" s="31"/>
      <c r="O276" s="43"/>
    </row>
    <row r="277" spans="3:15" ht="12.5" x14ac:dyDescent="0.25">
      <c r="C277" s="31"/>
      <c r="I277" s="43"/>
      <c r="J277" s="43"/>
      <c r="K277" s="43"/>
      <c r="N277" s="31"/>
      <c r="O277" s="43"/>
    </row>
    <row r="278" spans="3:15" ht="12.5" x14ac:dyDescent="0.25">
      <c r="C278" s="31"/>
      <c r="I278" s="43"/>
      <c r="J278" s="43"/>
      <c r="K278" s="43"/>
      <c r="N278" s="31"/>
      <c r="O278" s="43"/>
    </row>
    <row r="279" spans="3:15" ht="12.5" x14ac:dyDescent="0.25">
      <c r="C279" s="31"/>
      <c r="I279" s="43"/>
      <c r="J279" s="43"/>
      <c r="K279" s="43"/>
      <c r="N279" s="31"/>
      <c r="O279" s="43"/>
    </row>
    <row r="280" spans="3:15" ht="12.5" x14ac:dyDescent="0.25">
      <c r="C280" s="31"/>
      <c r="I280" s="43"/>
      <c r="J280" s="43"/>
      <c r="K280" s="43"/>
      <c r="N280" s="31"/>
      <c r="O280" s="43"/>
    </row>
    <row r="281" spans="3:15" ht="12.5" x14ac:dyDescent="0.25">
      <c r="C281" s="31"/>
      <c r="I281" s="43"/>
      <c r="J281" s="43"/>
      <c r="K281" s="43"/>
      <c r="N281" s="31"/>
      <c r="O281" s="43"/>
    </row>
    <row r="282" spans="3:15" ht="12.5" x14ac:dyDescent="0.25">
      <c r="C282" s="31"/>
      <c r="I282" s="43"/>
      <c r="J282" s="43"/>
      <c r="K282" s="43"/>
      <c r="N282" s="31"/>
      <c r="O282" s="43"/>
    </row>
    <row r="283" spans="3:15" ht="12.5" x14ac:dyDescent="0.25">
      <c r="C283" s="31"/>
      <c r="I283" s="43"/>
      <c r="J283" s="43"/>
      <c r="K283" s="43"/>
      <c r="N283" s="31"/>
      <c r="O283" s="43"/>
    </row>
    <row r="284" spans="3:15" ht="12.5" x14ac:dyDescent="0.25">
      <c r="C284" s="31"/>
      <c r="I284" s="43"/>
      <c r="J284" s="43"/>
      <c r="K284" s="43"/>
      <c r="N284" s="31"/>
      <c r="O284" s="43"/>
    </row>
    <row r="285" spans="3:15" ht="12.5" x14ac:dyDescent="0.25">
      <c r="C285" s="31"/>
      <c r="I285" s="43"/>
      <c r="J285" s="43"/>
      <c r="K285" s="43"/>
      <c r="N285" s="31"/>
      <c r="O285" s="43"/>
    </row>
    <row r="286" spans="3:15" ht="12.5" x14ac:dyDescent="0.25">
      <c r="C286" s="31"/>
      <c r="I286" s="43"/>
      <c r="J286" s="43"/>
      <c r="K286" s="43"/>
      <c r="N286" s="31"/>
      <c r="O286" s="43"/>
    </row>
    <row r="287" spans="3:15" ht="12.5" x14ac:dyDescent="0.25">
      <c r="C287" s="31"/>
      <c r="I287" s="43"/>
      <c r="J287" s="43"/>
      <c r="K287" s="43"/>
      <c r="N287" s="31"/>
      <c r="O287" s="43"/>
    </row>
    <row r="288" spans="3:15" ht="12.5" x14ac:dyDescent="0.25">
      <c r="C288" s="31"/>
      <c r="I288" s="43"/>
      <c r="J288" s="43"/>
      <c r="K288" s="43"/>
      <c r="N288" s="31"/>
      <c r="O288" s="43"/>
    </row>
    <row r="289" spans="3:15" ht="12.5" x14ac:dyDescent="0.25">
      <c r="C289" s="31"/>
      <c r="I289" s="43"/>
      <c r="J289" s="43"/>
      <c r="K289" s="43"/>
      <c r="N289" s="31"/>
      <c r="O289" s="43"/>
    </row>
    <row r="290" spans="3:15" ht="12.5" x14ac:dyDescent="0.25">
      <c r="C290" s="31"/>
      <c r="I290" s="43"/>
      <c r="J290" s="43"/>
      <c r="K290" s="43"/>
      <c r="N290" s="31"/>
      <c r="O290" s="43"/>
    </row>
    <row r="291" spans="3:15" ht="12.5" x14ac:dyDescent="0.25">
      <c r="C291" s="31"/>
      <c r="I291" s="43"/>
      <c r="J291" s="43"/>
      <c r="K291" s="43"/>
      <c r="N291" s="31"/>
      <c r="O291" s="43"/>
    </row>
    <row r="292" spans="3:15" ht="12.5" x14ac:dyDescent="0.25">
      <c r="C292" s="31"/>
      <c r="I292" s="43"/>
      <c r="J292" s="43"/>
      <c r="K292" s="43"/>
      <c r="N292" s="31"/>
      <c r="O292" s="43"/>
    </row>
    <row r="293" spans="3:15" ht="12.5" x14ac:dyDescent="0.25">
      <c r="C293" s="31"/>
      <c r="I293" s="43"/>
      <c r="J293" s="43"/>
      <c r="K293" s="43"/>
      <c r="N293" s="31"/>
      <c r="O293" s="43"/>
    </row>
    <row r="294" spans="3:15" ht="12.5" x14ac:dyDescent="0.25">
      <c r="C294" s="31"/>
      <c r="I294" s="43"/>
      <c r="J294" s="43"/>
      <c r="K294" s="43"/>
      <c r="N294" s="31"/>
      <c r="O294" s="43"/>
    </row>
    <row r="295" spans="3:15" ht="12.5" x14ac:dyDescent="0.25">
      <c r="C295" s="31"/>
      <c r="I295" s="43"/>
      <c r="J295" s="43"/>
      <c r="K295" s="43"/>
      <c r="N295" s="31"/>
      <c r="O295" s="43"/>
    </row>
    <row r="296" spans="3:15" ht="12.5" x14ac:dyDescent="0.25">
      <c r="C296" s="31"/>
      <c r="I296" s="43"/>
      <c r="J296" s="43"/>
      <c r="K296" s="43"/>
      <c r="N296" s="31"/>
      <c r="O296" s="43"/>
    </row>
    <row r="297" spans="3:15" ht="12.5" x14ac:dyDescent="0.25">
      <c r="C297" s="31"/>
      <c r="I297" s="43"/>
      <c r="J297" s="43"/>
      <c r="K297" s="43"/>
      <c r="N297" s="31"/>
      <c r="O297" s="43"/>
    </row>
    <row r="298" spans="3:15" ht="12.5" x14ac:dyDescent="0.25">
      <c r="C298" s="31"/>
      <c r="I298" s="43"/>
      <c r="J298" s="43"/>
      <c r="K298" s="43"/>
      <c r="N298" s="31"/>
      <c r="O298" s="43"/>
    </row>
    <row r="299" spans="3:15" ht="12.5" x14ac:dyDescent="0.25">
      <c r="C299" s="31"/>
      <c r="I299" s="43"/>
      <c r="J299" s="43"/>
      <c r="K299" s="43"/>
      <c r="N299" s="31"/>
      <c r="O299" s="43"/>
    </row>
    <row r="300" spans="3:15" ht="12.5" x14ac:dyDescent="0.25">
      <c r="C300" s="31"/>
      <c r="I300" s="43"/>
      <c r="J300" s="43"/>
      <c r="K300" s="43"/>
      <c r="N300" s="31"/>
      <c r="O300" s="43"/>
    </row>
    <row r="301" spans="3:15" ht="12.5" x14ac:dyDescent="0.25">
      <c r="C301" s="31"/>
      <c r="I301" s="43"/>
      <c r="J301" s="43"/>
      <c r="K301" s="43"/>
      <c r="N301" s="31"/>
      <c r="O301" s="43"/>
    </row>
    <row r="302" spans="3:15" ht="12.5" x14ac:dyDescent="0.25">
      <c r="C302" s="31"/>
      <c r="I302" s="43"/>
      <c r="J302" s="43"/>
      <c r="K302" s="43"/>
      <c r="N302" s="31"/>
      <c r="O302" s="43"/>
    </row>
    <row r="303" spans="3:15" ht="12.5" x14ac:dyDescent="0.25">
      <c r="C303" s="31"/>
      <c r="I303" s="43"/>
      <c r="J303" s="43"/>
      <c r="K303" s="43"/>
      <c r="N303" s="31"/>
      <c r="O303" s="43"/>
    </row>
    <row r="304" spans="3:15" ht="12.5" x14ac:dyDescent="0.25">
      <c r="C304" s="31"/>
      <c r="I304" s="43"/>
      <c r="J304" s="43"/>
      <c r="K304" s="43"/>
      <c r="N304" s="31"/>
      <c r="O304" s="43"/>
    </row>
    <row r="305" spans="3:15" ht="12.5" x14ac:dyDescent="0.25">
      <c r="C305" s="31"/>
      <c r="I305" s="43"/>
      <c r="J305" s="43"/>
      <c r="K305" s="43"/>
      <c r="N305" s="31"/>
      <c r="O305" s="43"/>
    </row>
    <row r="306" spans="3:15" ht="12.5" x14ac:dyDescent="0.25">
      <c r="C306" s="31"/>
      <c r="I306" s="43"/>
      <c r="J306" s="43"/>
      <c r="K306" s="43"/>
      <c r="N306" s="31"/>
      <c r="O306" s="43"/>
    </row>
    <row r="307" spans="3:15" ht="12.5" x14ac:dyDescent="0.25">
      <c r="C307" s="31"/>
      <c r="I307" s="43"/>
      <c r="J307" s="43"/>
      <c r="K307" s="43"/>
      <c r="N307" s="31"/>
      <c r="O307" s="43"/>
    </row>
    <row r="308" spans="3:15" ht="12.5" x14ac:dyDescent="0.25">
      <c r="C308" s="31"/>
      <c r="I308" s="43"/>
      <c r="J308" s="43"/>
      <c r="K308" s="43"/>
      <c r="N308" s="31"/>
      <c r="O308" s="43"/>
    </row>
    <row r="309" spans="3:15" ht="12.5" x14ac:dyDescent="0.25">
      <c r="C309" s="31"/>
      <c r="I309" s="43"/>
      <c r="J309" s="43"/>
      <c r="K309" s="43"/>
      <c r="N309" s="31"/>
      <c r="O309" s="43"/>
    </row>
    <row r="310" spans="3:15" ht="12.5" x14ac:dyDescent="0.25">
      <c r="C310" s="31"/>
      <c r="I310" s="43"/>
      <c r="J310" s="43"/>
      <c r="K310" s="43"/>
      <c r="N310" s="31"/>
      <c r="O310" s="43"/>
    </row>
    <row r="311" spans="3:15" ht="12.5" x14ac:dyDescent="0.25">
      <c r="C311" s="31"/>
      <c r="I311" s="43"/>
      <c r="J311" s="43"/>
      <c r="K311" s="43"/>
      <c r="N311" s="31"/>
      <c r="O311" s="43"/>
    </row>
    <row r="312" spans="3:15" ht="12.5" x14ac:dyDescent="0.25">
      <c r="C312" s="31"/>
      <c r="I312" s="43"/>
      <c r="J312" s="43"/>
      <c r="K312" s="43"/>
      <c r="N312" s="31"/>
      <c r="O312" s="43"/>
    </row>
    <row r="313" spans="3:15" ht="12.5" x14ac:dyDescent="0.25">
      <c r="C313" s="31"/>
      <c r="I313" s="43"/>
      <c r="J313" s="43"/>
      <c r="K313" s="43"/>
      <c r="N313" s="31"/>
      <c r="O313" s="43"/>
    </row>
    <row r="314" spans="3:15" ht="12.5" x14ac:dyDescent="0.25">
      <c r="C314" s="31"/>
      <c r="I314" s="43"/>
      <c r="J314" s="43"/>
      <c r="K314" s="43"/>
      <c r="N314" s="31"/>
      <c r="O314" s="43"/>
    </row>
    <row r="315" spans="3:15" ht="12.5" x14ac:dyDescent="0.25">
      <c r="C315" s="31"/>
      <c r="I315" s="43"/>
      <c r="J315" s="43"/>
      <c r="K315" s="43"/>
      <c r="N315" s="31"/>
      <c r="O315" s="43"/>
    </row>
    <row r="316" spans="3:15" ht="12.5" x14ac:dyDescent="0.25">
      <c r="C316" s="31"/>
      <c r="I316" s="43"/>
      <c r="J316" s="43"/>
      <c r="K316" s="43"/>
      <c r="N316" s="31"/>
      <c r="O316" s="43"/>
    </row>
    <row r="317" spans="3:15" ht="12.5" x14ac:dyDescent="0.25">
      <c r="C317" s="31"/>
      <c r="I317" s="43"/>
      <c r="J317" s="43"/>
      <c r="K317" s="43"/>
      <c r="N317" s="31"/>
      <c r="O317" s="43"/>
    </row>
    <row r="318" spans="3:15" ht="12.5" x14ac:dyDescent="0.25">
      <c r="C318" s="31"/>
      <c r="I318" s="43"/>
      <c r="J318" s="43"/>
      <c r="K318" s="43"/>
      <c r="N318" s="31"/>
      <c r="O318" s="43"/>
    </row>
    <row r="319" spans="3:15" ht="12.5" x14ac:dyDescent="0.25">
      <c r="C319" s="31"/>
      <c r="I319" s="43"/>
      <c r="J319" s="43"/>
      <c r="K319" s="43"/>
      <c r="N319" s="31"/>
      <c r="O319" s="43"/>
    </row>
    <row r="320" spans="3:15" ht="12.5" x14ac:dyDescent="0.25">
      <c r="C320" s="31"/>
      <c r="I320" s="43"/>
      <c r="J320" s="43"/>
      <c r="K320" s="43"/>
      <c r="N320" s="31"/>
      <c r="O320" s="43"/>
    </row>
    <row r="321" spans="3:15" ht="12.5" x14ac:dyDescent="0.25">
      <c r="C321" s="31"/>
      <c r="I321" s="43"/>
      <c r="J321" s="43"/>
      <c r="K321" s="43"/>
      <c r="N321" s="31"/>
      <c r="O321" s="43"/>
    </row>
    <row r="322" spans="3:15" ht="12.5" x14ac:dyDescent="0.25">
      <c r="C322" s="31"/>
      <c r="I322" s="43"/>
      <c r="J322" s="43"/>
      <c r="K322" s="43"/>
      <c r="N322" s="31"/>
      <c r="O322" s="43"/>
    </row>
    <row r="323" spans="3:15" ht="12.5" x14ac:dyDescent="0.25">
      <c r="C323" s="31"/>
      <c r="I323" s="43"/>
      <c r="J323" s="43"/>
      <c r="K323" s="43"/>
      <c r="N323" s="31"/>
      <c r="O323" s="43"/>
    </row>
    <row r="324" spans="3:15" ht="12.5" x14ac:dyDescent="0.25">
      <c r="C324" s="31"/>
      <c r="I324" s="43"/>
      <c r="J324" s="43"/>
      <c r="K324" s="43"/>
      <c r="N324" s="31"/>
      <c r="O324" s="43"/>
    </row>
    <row r="325" spans="3:15" ht="12.5" x14ac:dyDescent="0.25">
      <c r="C325" s="31"/>
      <c r="I325" s="43"/>
      <c r="J325" s="43"/>
      <c r="K325" s="43"/>
      <c r="N325" s="31"/>
      <c r="O325" s="43"/>
    </row>
    <row r="326" spans="3:15" ht="12.5" x14ac:dyDescent="0.25">
      <c r="C326" s="31"/>
      <c r="I326" s="43"/>
      <c r="J326" s="43"/>
      <c r="K326" s="43"/>
      <c r="N326" s="31"/>
      <c r="O326" s="43"/>
    </row>
    <row r="327" spans="3:15" ht="12.5" x14ac:dyDescent="0.25">
      <c r="C327" s="31"/>
      <c r="I327" s="43"/>
      <c r="J327" s="43"/>
      <c r="K327" s="43"/>
      <c r="N327" s="31"/>
      <c r="O327" s="43"/>
    </row>
    <row r="328" spans="3:15" ht="12.5" x14ac:dyDescent="0.25">
      <c r="C328" s="31"/>
      <c r="I328" s="43"/>
      <c r="J328" s="43"/>
      <c r="K328" s="43"/>
      <c r="N328" s="31"/>
      <c r="O328" s="43"/>
    </row>
    <row r="329" spans="3:15" ht="12.5" x14ac:dyDescent="0.25">
      <c r="C329" s="31"/>
      <c r="I329" s="43"/>
      <c r="J329" s="43"/>
      <c r="K329" s="43"/>
      <c r="N329" s="31"/>
      <c r="O329" s="43"/>
    </row>
    <row r="330" spans="3:15" ht="12.5" x14ac:dyDescent="0.25">
      <c r="C330" s="31"/>
      <c r="I330" s="43"/>
      <c r="J330" s="43"/>
      <c r="K330" s="43"/>
      <c r="N330" s="31"/>
      <c r="O330" s="43"/>
    </row>
    <row r="331" spans="3:15" ht="12.5" x14ac:dyDescent="0.25">
      <c r="C331" s="31"/>
      <c r="I331" s="43"/>
      <c r="J331" s="43"/>
      <c r="K331" s="43"/>
      <c r="N331" s="31"/>
      <c r="O331" s="43"/>
    </row>
    <row r="332" spans="3:15" ht="12.5" x14ac:dyDescent="0.25">
      <c r="C332" s="31"/>
      <c r="I332" s="43"/>
      <c r="J332" s="43"/>
      <c r="K332" s="43"/>
      <c r="N332" s="31"/>
      <c r="O332" s="43"/>
    </row>
    <row r="333" spans="3:15" ht="12.5" x14ac:dyDescent="0.25">
      <c r="C333" s="31"/>
      <c r="I333" s="43"/>
      <c r="J333" s="43"/>
      <c r="K333" s="43"/>
      <c r="N333" s="31"/>
      <c r="O333" s="43"/>
    </row>
    <row r="334" spans="3:15" ht="12.5" x14ac:dyDescent="0.25">
      <c r="C334" s="31"/>
      <c r="I334" s="43"/>
      <c r="J334" s="43"/>
      <c r="K334" s="43"/>
      <c r="N334" s="31"/>
      <c r="O334" s="43"/>
    </row>
    <row r="335" spans="3:15" ht="12.5" x14ac:dyDescent="0.25">
      <c r="C335" s="31"/>
      <c r="I335" s="43"/>
      <c r="J335" s="43"/>
      <c r="K335" s="43"/>
      <c r="N335" s="31"/>
      <c r="O335" s="43"/>
    </row>
    <row r="336" spans="3:15" ht="12.5" x14ac:dyDescent="0.25">
      <c r="C336" s="31"/>
      <c r="I336" s="43"/>
      <c r="J336" s="43"/>
      <c r="K336" s="43"/>
      <c r="N336" s="31"/>
      <c r="O336" s="43"/>
    </row>
    <row r="337" spans="3:15" ht="12.5" x14ac:dyDescent="0.25">
      <c r="C337" s="31"/>
      <c r="I337" s="43"/>
      <c r="J337" s="43"/>
      <c r="K337" s="43"/>
      <c r="N337" s="31"/>
      <c r="O337" s="43"/>
    </row>
    <row r="338" spans="3:15" ht="12.5" x14ac:dyDescent="0.25">
      <c r="C338" s="31"/>
      <c r="I338" s="43"/>
      <c r="J338" s="43"/>
      <c r="K338" s="43"/>
      <c r="N338" s="31"/>
      <c r="O338" s="43"/>
    </row>
    <row r="339" spans="3:15" ht="12.5" x14ac:dyDescent="0.25">
      <c r="C339" s="31"/>
      <c r="I339" s="43"/>
      <c r="J339" s="43"/>
      <c r="K339" s="43"/>
      <c r="N339" s="31"/>
      <c r="O339" s="43"/>
    </row>
    <row r="340" spans="3:15" ht="12.5" x14ac:dyDescent="0.25">
      <c r="C340" s="31"/>
      <c r="I340" s="43"/>
      <c r="J340" s="43"/>
      <c r="K340" s="43"/>
      <c r="N340" s="31"/>
      <c r="O340" s="43"/>
    </row>
    <row r="341" spans="3:15" ht="12.5" x14ac:dyDescent="0.25">
      <c r="C341" s="31"/>
      <c r="I341" s="43"/>
      <c r="J341" s="43"/>
      <c r="K341" s="43"/>
      <c r="N341" s="31"/>
      <c r="O341" s="43"/>
    </row>
    <row r="342" spans="3:15" ht="12.5" x14ac:dyDescent="0.25">
      <c r="C342" s="31"/>
      <c r="I342" s="43"/>
      <c r="J342" s="43"/>
      <c r="K342" s="43"/>
      <c r="N342" s="31"/>
      <c r="O342" s="43"/>
    </row>
    <row r="343" spans="3:15" ht="12.5" x14ac:dyDescent="0.25">
      <c r="C343" s="31"/>
      <c r="I343" s="43"/>
      <c r="J343" s="43"/>
      <c r="K343" s="43"/>
      <c r="N343" s="31"/>
      <c r="O343" s="43"/>
    </row>
    <row r="344" spans="3:15" ht="12.5" x14ac:dyDescent="0.25">
      <c r="C344" s="31"/>
      <c r="I344" s="43"/>
      <c r="J344" s="43"/>
      <c r="K344" s="43"/>
      <c r="N344" s="31"/>
      <c r="O344" s="43"/>
    </row>
    <row r="345" spans="3:15" ht="12.5" x14ac:dyDescent="0.25">
      <c r="C345" s="31"/>
      <c r="I345" s="43"/>
      <c r="J345" s="43"/>
      <c r="K345" s="43"/>
      <c r="N345" s="31"/>
      <c r="O345" s="43"/>
    </row>
    <row r="346" spans="3:15" ht="12.5" x14ac:dyDescent="0.25">
      <c r="C346" s="31"/>
      <c r="I346" s="43"/>
      <c r="J346" s="43"/>
      <c r="K346" s="43"/>
      <c r="N346" s="31"/>
      <c r="O346" s="43"/>
    </row>
    <row r="347" spans="3:15" ht="12.5" x14ac:dyDescent="0.25">
      <c r="C347" s="31"/>
      <c r="I347" s="43"/>
      <c r="J347" s="43"/>
      <c r="K347" s="43"/>
      <c r="N347" s="31"/>
      <c r="O347" s="43"/>
    </row>
    <row r="348" spans="3:15" ht="12.5" x14ac:dyDescent="0.25">
      <c r="C348" s="31"/>
      <c r="I348" s="43"/>
      <c r="J348" s="43"/>
      <c r="K348" s="43"/>
      <c r="N348" s="31"/>
      <c r="O348" s="43"/>
    </row>
    <row r="349" spans="3:15" ht="12.5" x14ac:dyDescent="0.25">
      <c r="C349" s="31"/>
      <c r="I349" s="43"/>
      <c r="J349" s="43"/>
      <c r="K349" s="43"/>
      <c r="N349" s="31"/>
      <c r="O349" s="43"/>
    </row>
    <row r="350" spans="3:15" ht="12.5" x14ac:dyDescent="0.25">
      <c r="C350" s="31"/>
      <c r="I350" s="43"/>
      <c r="J350" s="43"/>
      <c r="K350" s="43"/>
      <c r="N350" s="31"/>
      <c r="O350" s="43"/>
    </row>
    <row r="351" spans="3:15" ht="12.5" x14ac:dyDescent="0.25">
      <c r="C351" s="31"/>
      <c r="I351" s="43"/>
      <c r="J351" s="43"/>
      <c r="K351" s="43"/>
      <c r="N351" s="31"/>
      <c r="O351" s="43"/>
    </row>
    <row r="352" spans="3:15" ht="12.5" x14ac:dyDescent="0.25">
      <c r="C352" s="31"/>
      <c r="I352" s="43"/>
      <c r="J352" s="43"/>
      <c r="K352" s="43"/>
      <c r="N352" s="31"/>
      <c r="O352" s="43"/>
    </row>
    <row r="353" spans="3:15" ht="12.5" x14ac:dyDescent="0.25">
      <c r="C353" s="31"/>
      <c r="I353" s="43"/>
      <c r="J353" s="43"/>
      <c r="K353" s="43"/>
      <c r="N353" s="31"/>
      <c r="O353" s="43"/>
    </row>
    <row r="354" spans="3:15" ht="12.5" x14ac:dyDescent="0.25">
      <c r="C354" s="31"/>
      <c r="I354" s="43"/>
      <c r="J354" s="43"/>
      <c r="K354" s="43"/>
      <c r="N354" s="31"/>
      <c r="O354" s="43"/>
    </row>
    <row r="355" spans="3:15" ht="12.5" x14ac:dyDescent="0.25">
      <c r="C355" s="31"/>
      <c r="I355" s="43"/>
      <c r="J355" s="43"/>
      <c r="K355" s="43"/>
      <c r="N355" s="31"/>
      <c r="O355" s="43"/>
    </row>
    <row r="356" spans="3:15" ht="12.5" x14ac:dyDescent="0.25">
      <c r="C356" s="31"/>
      <c r="I356" s="43"/>
      <c r="J356" s="43"/>
      <c r="K356" s="43"/>
      <c r="N356" s="31"/>
      <c r="O356" s="43"/>
    </row>
    <row r="357" spans="3:15" ht="12.5" x14ac:dyDescent="0.25">
      <c r="C357" s="31"/>
      <c r="I357" s="43"/>
      <c r="J357" s="43"/>
      <c r="K357" s="43"/>
      <c r="N357" s="31"/>
      <c r="O357" s="43"/>
    </row>
    <row r="358" spans="3:15" ht="12.5" x14ac:dyDescent="0.25">
      <c r="C358" s="31"/>
      <c r="I358" s="43"/>
      <c r="J358" s="43"/>
      <c r="K358" s="43"/>
      <c r="N358" s="31"/>
      <c r="O358" s="43"/>
    </row>
    <row r="359" spans="3:15" ht="12.5" x14ac:dyDescent="0.25">
      <c r="C359" s="31"/>
      <c r="I359" s="43"/>
      <c r="J359" s="43"/>
      <c r="K359" s="43"/>
      <c r="N359" s="31"/>
      <c r="O359" s="43"/>
    </row>
    <row r="360" spans="3:15" ht="12.5" x14ac:dyDescent="0.25">
      <c r="C360" s="31"/>
      <c r="I360" s="43"/>
      <c r="J360" s="43"/>
      <c r="K360" s="43"/>
      <c r="N360" s="31"/>
      <c r="O360" s="43"/>
    </row>
    <row r="361" spans="3:15" ht="12.5" x14ac:dyDescent="0.25">
      <c r="C361" s="31"/>
      <c r="I361" s="43"/>
      <c r="J361" s="43"/>
      <c r="K361" s="43"/>
      <c r="N361" s="31"/>
      <c r="O361" s="43"/>
    </row>
    <row r="362" spans="3:15" ht="12.5" x14ac:dyDescent="0.25">
      <c r="C362" s="31"/>
      <c r="I362" s="43"/>
      <c r="J362" s="43"/>
      <c r="K362" s="43"/>
      <c r="N362" s="31"/>
      <c r="O362" s="43"/>
    </row>
    <row r="363" spans="3:15" ht="12.5" x14ac:dyDescent="0.25">
      <c r="C363" s="31"/>
      <c r="I363" s="43"/>
      <c r="J363" s="43"/>
      <c r="K363" s="43"/>
      <c r="N363" s="31"/>
      <c r="O363" s="43"/>
    </row>
    <row r="364" spans="3:15" ht="12.5" x14ac:dyDescent="0.25">
      <c r="C364" s="31"/>
      <c r="I364" s="43"/>
      <c r="J364" s="43"/>
      <c r="K364" s="43"/>
      <c r="N364" s="31"/>
      <c r="O364" s="43"/>
    </row>
    <row r="365" spans="3:15" ht="12.5" x14ac:dyDescent="0.25">
      <c r="C365" s="31"/>
      <c r="I365" s="43"/>
      <c r="J365" s="43"/>
      <c r="K365" s="43"/>
      <c r="N365" s="31"/>
      <c r="O365" s="43"/>
    </row>
    <row r="366" spans="3:15" ht="12.5" x14ac:dyDescent="0.25">
      <c r="C366" s="31"/>
      <c r="I366" s="43"/>
      <c r="J366" s="43"/>
      <c r="K366" s="43"/>
      <c r="N366" s="31"/>
      <c r="O366" s="43"/>
    </row>
    <row r="367" spans="3:15" ht="12.5" x14ac:dyDescent="0.25">
      <c r="C367" s="31"/>
      <c r="I367" s="43"/>
      <c r="J367" s="43"/>
      <c r="K367" s="43"/>
      <c r="N367" s="31"/>
      <c r="O367" s="43"/>
    </row>
    <row r="368" spans="3:15" ht="12.5" x14ac:dyDescent="0.25">
      <c r="C368" s="31"/>
      <c r="I368" s="43"/>
      <c r="J368" s="43"/>
      <c r="K368" s="43"/>
      <c r="N368" s="31"/>
      <c r="O368" s="43"/>
    </row>
    <row r="369" spans="3:15" ht="12.5" x14ac:dyDescent="0.25">
      <c r="C369" s="31"/>
      <c r="I369" s="43"/>
      <c r="J369" s="43"/>
      <c r="K369" s="43"/>
      <c r="N369" s="31"/>
      <c r="O369" s="43"/>
    </row>
    <row r="370" spans="3:15" ht="12.5" x14ac:dyDescent="0.25">
      <c r="C370" s="31"/>
      <c r="I370" s="43"/>
      <c r="J370" s="43"/>
      <c r="K370" s="43"/>
      <c r="N370" s="31"/>
      <c r="O370" s="43"/>
    </row>
    <row r="371" spans="3:15" ht="12.5" x14ac:dyDescent="0.25">
      <c r="C371" s="31"/>
      <c r="I371" s="43"/>
      <c r="J371" s="43"/>
      <c r="K371" s="43"/>
      <c r="N371" s="31"/>
      <c r="O371" s="43"/>
    </row>
    <row r="372" spans="3:15" ht="12.5" x14ac:dyDescent="0.25">
      <c r="C372" s="31"/>
      <c r="I372" s="43"/>
      <c r="J372" s="43"/>
      <c r="K372" s="43"/>
      <c r="N372" s="31"/>
      <c r="O372" s="43"/>
    </row>
    <row r="373" spans="3:15" ht="12.5" x14ac:dyDescent="0.25">
      <c r="C373" s="31"/>
      <c r="I373" s="43"/>
      <c r="J373" s="43"/>
      <c r="K373" s="43"/>
      <c r="N373" s="31"/>
      <c r="O373" s="43"/>
    </row>
    <row r="374" spans="3:15" ht="12.5" x14ac:dyDescent="0.25">
      <c r="C374" s="31"/>
      <c r="I374" s="43"/>
      <c r="J374" s="43"/>
      <c r="K374" s="43"/>
      <c r="N374" s="31"/>
      <c r="O374" s="43"/>
    </row>
    <row r="375" spans="3:15" ht="12.5" x14ac:dyDescent="0.25">
      <c r="C375" s="31"/>
      <c r="I375" s="43"/>
      <c r="J375" s="43"/>
      <c r="K375" s="43"/>
      <c r="N375" s="31"/>
      <c r="O375" s="43"/>
    </row>
    <row r="376" spans="3:15" ht="12.5" x14ac:dyDescent="0.25">
      <c r="C376" s="31"/>
      <c r="I376" s="43"/>
      <c r="J376" s="43"/>
      <c r="K376" s="43"/>
      <c r="N376" s="31"/>
      <c r="O376" s="43"/>
    </row>
    <row r="377" spans="3:15" ht="12.5" x14ac:dyDescent="0.25">
      <c r="C377" s="31"/>
      <c r="I377" s="43"/>
      <c r="J377" s="43"/>
      <c r="K377" s="43"/>
      <c r="N377" s="31"/>
      <c r="O377" s="43"/>
    </row>
    <row r="378" spans="3:15" ht="12.5" x14ac:dyDescent="0.25">
      <c r="C378" s="31"/>
      <c r="I378" s="43"/>
      <c r="J378" s="43"/>
      <c r="K378" s="43"/>
      <c r="N378" s="31"/>
      <c r="O378" s="43"/>
    </row>
    <row r="379" spans="3:15" ht="12.5" x14ac:dyDescent="0.25">
      <c r="C379" s="31"/>
      <c r="I379" s="43"/>
      <c r="J379" s="43"/>
      <c r="K379" s="43"/>
      <c r="N379" s="31"/>
      <c r="O379" s="43"/>
    </row>
    <row r="380" spans="3:15" ht="12.5" x14ac:dyDescent="0.25">
      <c r="C380" s="31"/>
      <c r="I380" s="43"/>
      <c r="J380" s="43"/>
      <c r="K380" s="43"/>
      <c r="N380" s="31"/>
      <c r="O380" s="43"/>
    </row>
    <row r="381" spans="3:15" ht="12.5" x14ac:dyDescent="0.25">
      <c r="C381" s="31"/>
      <c r="I381" s="43"/>
      <c r="J381" s="43"/>
      <c r="K381" s="43"/>
      <c r="N381" s="31"/>
      <c r="O381" s="43"/>
    </row>
    <row r="382" spans="3:15" ht="12.5" x14ac:dyDescent="0.25">
      <c r="C382" s="31"/>
      <c r="I382" s="43"/>
      <c r="J382" s="43"/>
      <c r="K382" s="43"/>
      <c r="N382" s="31"/>
      <c r="O382" s="43"/>
    </row>
    <row r="383" spans="3:15" ht="12.5" x14ac:dyDescent="0.25">
      <c r="C383" s="31"/>
      <c r="I383" s="43"/>
      <c r="J383" s="43"/>
      <c r="K383" s="43"/>
      <c r="N383" s="31"/>
      <c r="O383" s="43"/>
    </row>
    <row r="384" spans="3:15" ht="12.5" x14ac:dyDescent="0.25">
      <c r="C384" s="31"/>
      <c r="I384" s="43"/>
      <c r="J384" s="43"/>
      <c r="K384" s="43"/>
      <c r="N384" s="31"/>
      <c r="O384" s="43"/>
    </row>
    <row r="385" spans="3:15" ht="12.5" x14ac:dyDescent="0.25">
      <c r="C385" s="31"/>
      <c r="I385" s="43"/>
      <c r="J385" s="43"/>
      <c r="K385" s="43"/>
      <c r="N385" s="31"/>
      <c r="O385" s="43"/>
    </row>
    <row r="386" spans="3:15" ht="12.5" x14ac:dyDescent="0.25">
      <c r="C386" s="31"/>
      <c r="I386" s="43"/>
      <c r="J386" s="43"/>
      <c r="K386" s="43"/>
      <c r="N386" s="31"/>
      <c r="O386" s="43"/>
    </row>
    <row r="387" spans="3:15" ht="12.5" x14ac:dyDescent="0.25">
      <c r="C387" s="31"/>
      <c r="I387" s="43"/>
      <c r="J387" s="43"/>
      <c r="K387" s="43"/>
      <c r="N387" s="31"/>
      <c r="O387" s="43"/>
    </row>
    <row r="388" spans="3:15" ht="12.5" x14ac:dyDescent="0.25">
      <c r="C388" s="31"/>
      <c r="I388" s="43"/>
      <c r="J388" s="43"/>
      <c r="K388" s="43"/>
      <c r="N388" s="31"/>
      <c r="O388" s="43"/>
    </row>
    <row r="389" spans="3:15" ht="12.5" x14ac:dyDescent="0.25">
      <c r="C389" s="31"/>
      <c r="I389" s="43"/>
      <c r="J389" s="43"/>
      <c r="K389" s="43"/>
      <c r="N389" s="31"/>
      <c r="O389" s="43"/>
    </row>
    <row r="390" spans="3:15" ht="12.5" x14ac:dyDescent="0.25">
      <c r="C390" s="31"/>
      <c r="I390" s="43"/>
      <c r="J390" s="43"/>
      <c r="K390" s="43"/>
      <c r="N390" s="31"/>
      <c r="O390" s="43"/>
    </row>
    <row r="391" spans="3:15" ht="12.5" x14ac:dyDescent="0.25">
      <c r="C391" s="31"/>
      <c r="I391" s="43"/>
      <c r="J391" s="43"/>
      <c r="K391" s="43"/>
      <c r="N391" s="31"/>
      <c r="O391" s="43"/>
    </row>
    <row r="392" spans="3:15" ht="12.5" x14ac:dyDescent="0.25">
      <c r="C392" s="31"/>
      <c r="I392" s="43"/>
      <c r="J392" s="43"/>
      <c r="K392" s="43"/>
      <c r="N392" s="31"/>
      <c r="O392" s="43"/>
    </row>
    <row r="393" spans="3:15" ht="12.5" x14ac:dyDescent="0.25">
      <c r="C393" s="31"/>
      <c r="I393" s="43"/>
      <c r="J393" s="43"/>
      <c r="K393" s="43"/>
      <c r="N393" s="31"/>
      <c r="O393" s="43"/>
    </row>
    <row r="394" spans="3:15" ht="12.5" x14ac:dyDescent="0.25">
      <c r="C394" s="31"/>
      <c r="I394" s="43"/>
      <c r="J394" s="43"/>
      <c r="K394" s="43"/>
      <c r="N394" s="31"/>
      <c r="O394" s="43"/>
    </row>
    <row r="395" spans="3:15" ht="12.5" x14ac:dyDescent="0.25">
      <c r="C395" s="31"/>
      <c r="I395" s="43"/>
      <c r="J395" s="43"/>
      <c r="K395" s="43"/>
      <c r="N395" s="31"/>
      <c r="O395" s="43"/>
    </row>
    <row r="396" spans="3:15" ht="12.5" x14ac:dyDescent="0.25">
      <c r="C396" s="31"/>
      <c r="I396" s="43"/>
      <c r="J396" s="43"/>
      <c r="K396" s="43"/>
      <c r="N396" s="31"/>
      <c r="O396" s="43"/>
    </row>
    <row r="397" spans="3:15" ht="12.5" x14ac:dyDescent="0.25">
      <c r="C397" s="31"/>
      <c r="I397" s="43"/>
      <c r="J397" s="43"/>
      <c r="K397" s="43"/>
      <c r="N397" s="31"/>
      <c r="O397" s="43"/>
    </row>
    <row r="398" spans="3:15" ht="12.5" x14ac:dyDescent="0.25">
      <c r="C398" s="31"/>
      <c r="I398" s="43"/>
      <c r="J398" s="43"/>
      <c r="K398" s="43"/>
      <c r="N398" s="31"/>
      <c r="O398" s="43"/>
    </row>
    <row r="399" spans="3:15" ht="12.5" x14ac:dyDescent="0.25">
      <c r="C399" s="31"/>
      <c r="I399" s="43"/>
      <c r="J399" s="43"/>
      <c r="K399" s="43"/>
      <c r="N399" s="31"/>
      <c r="O399" s="43"/>
    </row>
    <row r="400" spans="3:15" ht="12.5" x14ac:dyDescent="0.25">
      <c r="C400" s="31"/>
      <c r="I400" s="43"/>
      <c r="J400" s="43"/>
      <c r="K400" s="43"/>
      <c r="N400" s="31"/>
      <c r="O400" s="43"/>
    </row>
    <row r="401" spans="3:15" ht="12.5" x14ac:dyDescent="0.25">
      <c r="C401" s="31"/>
      <c r="I401" s="43"/>
      <c r="J401" s="43"/>
      <c r="K401" s="43"/>
      <c r="N401" s="31"/>
      <c r="O401" s="43"/>
    </row>
    <row r="402" spans="3:15" ht="12.5" x14ac:dyDescent="0.25">
      <c r="C402" s="31"/>
      <c r="I402" s="43"/>
      <c r="J402" s="43"/>
      <c r="K402" s="43"/>
      <c r="N402" s="31"/>
      <c r="O402" s="43"/>
    </row>
    <row r="403" spans="3:15" ht="12.5" x14ac:dyDescent="0.25">
      <c r="C403" s="31"/>
      <c r="I403" s="43"/>
      <c r="J403" s="43"/>
      <c r="K403" s="43"/>
      <c r="N403" s="31"/>
      <c r="O403" s="43"/>
    </row>
    <row r="404" spans="3:15" ht="12.5" x14ac:dyDescent="0.25">
      <c r="C404" s="31"/>
      <c r="I404" s="43"/>
      <c r="J404" s="43"/>
      <c r="K404" s="43"/>
      <c r="N404" s="31"/>
      <c r="O404" s="43"/>
    </row>
    <row r="405" spans="3:15" ht="12.5" x14ac:dyDescent="0.25">
      <c r="C405" s="31"/>
      <c r="I405" s="43"/>
      <c r="J405" s="43"/>
      <c r="K405" s="43"/>
      <c r="N405" s="31"/>
      <c r="O405" s="43"/>
    </row>
    <row r="406" spans="3:15" ht="12.5" x14ac:dyDescent="0.25">
      <c r="C406" s="31"/>
      <c r="I406" s="43"/>
      <c r="J406" s="43"/>
      <c r="K406" s="43"/>
      <c r="N406" s="31"/>
      <c r="O406" s="43"/>
    </row>
    <row r="407" spans="3:15" ht="12.5" x14ac:dyDescent="0.25">
      <c r="C407" s="31"/>
      <c r="I407" s="43"/>
      <c r="J407" s="43"/>
      <c r="K407" s="43"/>
      <c r="N407" s="31"/>
      <c r="O407" s="43"/>
    </row>
    <row r="408" spans="3:15" ht="12.5" x14ac:dyDescent="0.25">
      <c r="C408" s="31"/>
      <c r="I408" s="43"/>
      <c r="J408" s="43"/>
      <c r="K408" s="43"/>
      <c r="N408" s="31"/>
      <c r="O408" s="43"/>
    </row>
    <row r="409" spans="3:15" ht="12.5" x14ac:dyDescent="0.25">
      <c r="C409" s="31"/>
      <c r="I409" s="43"/>
      <c r="J409" s="43"/>
      <c r="K409" s="43"/>
      <c r="N409" s="31"/>
      <c r="O409" s="43"/>
    </row>
    <row r="410" spans="3:15" ht="12.5" x14ac:dyDescent="0.25">
      <c r="C410" s="31"/>
      <c r="I410" s="43"/>
      <c r="J410" s="43"/>
      <c r="K410" s="43"/>
      <c r="N410" s="31"/>
      <c r="O410" s="43"/>
    </row>
    <row r="411" spans="3:15" ht="12.5" x14ac:dyDescent="0.25">
      <c r="C411" s="31"/>
      <c r="I411" s="43"/>
      <c r="J411" s="43"/>
      <c r="K411" s="43"/>
      <c r="N411" s="31"/>
      <c r="O411" s="43"/>
    </row>
    <row r="412" spans="3:15" ht="12.5" x14ac:dyDescent="0.25">
      <c r="C412" s="31"/>
      <c r="I412" s="43"/>
      <c r="J412" s="43"/>
      <c r="K412" s="43"/>
      <c r="N412" s="31"/>
      <c r="O412" s="43"/>
    </row>
    <row r="413" spans="3:15" ht="12.5" x14ac:dyDescent="0.25">
      <c r="C413" s="31"/>
      <c r="I413" s="43"/>
      <c r="J413" s="43"/>
      <c r="K413" s="43"/>
      <c r="N413" s="31"/>
      <c r="O413" s="43"/>
    </row>
    <row r="414" spans="3:15" ht="12.5" x14ac:dyDescent="0.25">
      <c r="C414" s="31"/>
      <c r="I414" s="43"/>
      <c r="J414" s="43"/>
      <c r="K414" s="43"/>
      <c r="N414" s="31"/>
      <c r="O414" s="43"/>
    </row>
    <row r="415" spans="3:15" ht="12.5" x14ac:dyDescent="0.25">
      <c r="C415" s="31"/>
      <c r="I415" s="43"/>
      <c r="J415" s="43"/>
      <c r="K415" s="43"/>
      <c r="N415" s="31"/>
      <c r="O415" s="43"/>
    </row>
    <row r="416" spans="3:15" ht="12.5" x14ac:dyDescent="0.25">
      <c r="C416" s="31"/>
      <c r="I416" s="43"/>
      <c r="J416" s="43"/>
      <c r="K416" s="43"/>
      <c r="N416" s="31"/>
      <c r="O416" s="43"/>
    </row>
    <row r="417" spans="3:15" ht="12.5" x14ac:dyDescent="0.25">
      <c r="C417" s="31"/>
      <c r="I417" s="43"/>
      <c r="J417" s="43"/>
      <c r="K417" s="43"/>
      <c r="N417" s="31"/>
      <c r="O417" s="43"/>
    </row>
    <row r="418" spans="3:15" ht="12.5" x14ac:dyDescent="0.25">
      <c r="C418" s="31"/>
      <c r="I418" s="43"/>
      <c r="J418" s="43"/>
      <c r="K418" s="43"/>
      <c r="N418" s="31"/>
      <c r="O418" s="43"/>
    </row>
    <row r="419" spans="3:15" ht="12.5" x14ac:dyDescent="0.25">
      <c r="C419" s="31"/>
      <c r="I419" s="43"/>
      <c r="J419" s="43"/>
      <c r="K419" s="43"/>
      <c r="N419" s="31"/>
      <c r="O419" s="43"/>
    </row>
    <row r="420" spans="3:15" ht="12.5" x14ac:dyDescent="0.25">
      <c r="C420" s="31"/>
      <c r="I420" s="43"/>
      <c r="J420" s="43"/>
      <c r="K420" s="43"/>
      <c r="N420" s="31"/>
      <c r="O420" s="43"/>
    </row>
    <row r="421" spans="3:15" ht="12.5" x14ac:dyDescent="0.25">
      <c r="C421" s="31"/>
      <c r="I421" s="43"/>
      <c r="J421" s="43"/>
      <c r="K421" s="43"/>
      <c r="N421" s="31"/>
      <c r="O421" s="43"/>
    </row>
    <row r="422" spans="3:15" ht="12.5" x14ac:dyDescent="0.25">
      <c r="C422" s="31"/>
      <c r="I422" s="43"/>
      <c r="J422" s="43"/>
      <c r="K422" s="43"/>
      <c r="N422" s="31"/>
      <c r="O422" s="43"/>
    </row>
    <row r="423" spans="3:15" ht="12.5" x14ac:dyDescent="0.25">
      <c r="C423" s="31"/>
      <c r="I423" s="43"/>
      <c r="J423" s="43"/>
      <c r="K423" s="43"/>
      <c r="N423" s="31"/>
      <c r="O423" s="43"/>
    </row>
    <row r="424" spans="3:15" ht="12.5" x14ac:dyDescent="0.25">
      <c r="C424" s="31"/>
      <c r="I424" s="43"/>
      <c r="J424" s="43"/>
      <c r="K424" s="43"/>
      <c r="N424" s="31"/>
      <c r="O424" s="43"/>
    </row>
    <row r="425" spans="3:15" ht="12.5" x14ac:dyDescent="0.25">
      <c r="C425" s="31"/>
      <c r="I425" s="43"/>
      <c r="J425" s="43"/>
      <c r="K425" s="43"/>
      <c r="N425" s="31"/>
      <c r="O425" s="43"/>
    </row>
    <row r="426" spans="3:15" ht="12.5" x14ac:dyDescent="0.25">
      <c r="C426" s="31"/>
      <c r="I426" s="43"/>
      <c r="J426" s="43"/>
      <c r="K426" s="43"/>
      <c r="N426" s="31"/>
      <c r="O426" s="43"/>
    </row>
    <row r="427" spans="3:15" ht="12.5" x14ac:dyDescent="0.25">
      <c r="C427" s="31"/>
      <c r="I427" s="43"/>
      <c r="J427" s="43"/>
      <c r="K427" s="43"/>
      <c r="N427" s="31"/>
      <c r="O427" s="43"/>
    </row>
    <row r="428" spans="3:15" ht="12.5" x14ac:dyDescent="0.25">
      <c r="C428" s="31"/>
      <c r="I428" s="43"/>
      <c r="J428" s="43"/>
      <c r="K428" s="43"/>
      <c r="N428" s="31"/>
      <c r="O428" s="43"/>
    </row>
    <row r="429" spans="3:15" ht="12.5" x14ac:dyDescent="0.25">
      <c r="C429" s="31"/>
      <c r="I429" s="43"/>
      <c r="J429" s="43"/>
      <c r="K429" s="43"/>
      <c r="N429" s="31"/>
      <c r="O429" s="43"/>
    </row>
    <row r="430" spans="3:15" ht="12.5" x14ac:dyDescent="0.25">
      <c r="C430" s="31"/>
      <c r="I430" s="43"/>
      <c r="J430" s="43"/>
      <c r="K430" s="43"/>
      <c r="N430" s="31"/>
      <c r="O430" s="43"/>
    </row>
    <row r="431" spans="3:15" ht="12.5" x14ac:dyDescent="0.25">
      <c r="C431" s="31"/>
      <c r="I431" s="43"/>
      <c r="J431" s="43"/>
      <c r="K431" s="43"/>
      <c r="N431" s="31"/>
      <c r="O431" s="43"/>
    </row>
    <row r="432" spans="3:15" ht="12.5" x14ac:dyDescent="0.25">
      <c r="C432" s="31"/>
      <c r="I432" s="43"/>
      <c r="J432" s="43"/>
      <c r="K432" s="43"/>
      <c r="N432" s="31"/>
      <c r="O432" s="43"/>
    </row>
    <row r="433" spans="3:15" ht="12.5" x14ac:dyDescent="0.25">
      <c r="C433" s="31"/>
      <c r="I433" s="43"/>
      <c r="J433" s="43"/>
      <c r="K433" s="43"/>
      <c r="N433" s="31"/>
      <c r="O433" s="43"/>
    </row>
    <row r="434" spans="3:15" ht="12.5" x14ac:dyDescent="0.25">
      <c r="C434" s="31"/>
      <c r="I434" s="43"/>
      <c r="J434" s="43"/>
      <c r="K434" s="43"/>
      <c r="N434" s="31"/>
      <c r="O434" s="43"/>
    </row>
    <row r="435" spans="3:15" ht="12.5" x14ac:dyDescent="0.25">
      <c r="C435" s="31"/>
      <c r="I435" s="43"/>
      <c r="J435" s="43"/>
      <c r="K435" s="43"/>
      <c r="N435" s="31"/>
      <c r="O435" s="43"/>
    </row>
    <row r="436" spans="3:15" ht="12.5" x14ac:dyDescent="0.25">
      <c r="C436" s="31"/>
      <c r="I436" s="43"/>
      <c r="J436" s="43"/>
      <c r="K436" s="43"/>
      <c r="N436" s="31"/>
      <c r="O436" s="43"/>
    </row>
    <row r="437" spans="3:15" ht="12.5" x14ac:dyDescent="0.25">
      <c r="C437" s="31"/>
      <c r="I437" s="43"/>
      <c r="J437" s="43"/>
      <c r="K437" s="43"/>
      <c r="N437" s="31"/>
      <c r="O437" s="43"/>
    </row>
    <row r="438" spans="3:15" ht="12.5" x14ac:dyDescent="0.25">
      <c r="C438" s="31"/>
      <c r="I438" s="43"/>
      <c r="J438" s="43"/>
      <c r="K438" s="43"/>
      <c r="N438" s="31"/>
      <c r="O438" s="43"/>
    </row>
    <row r="439" spans="3:15" ht="12.5" x14ac:dyDescent="0.25">
      <c r="C439" s="31"/>
      <c r="I439" s="43"/>
      <c r="J439" s="43"/>
      <c r="K439" s="43"/>
      <c r="N439" s="31"/>
      <c r="O439" s="43"/>
    </row>
    <row r="440" spans="3:15" ht="12.5" x14ac:dyDescent="0.25">
      <c r="C440" s="31"/>
      <c r="I440" s="43"/>
      <c r="J440" s="43"/>
      <c r="K440" s="43"/>
      <c r="N440" s="31"/>
      <c r="O440" s="43"/>
    </row>
    <row r="441" spans="3:15" ht="12.5" x14ac:dyDescent="0.25">
      <c r="C441" s="31"/>
      <c r="I441" s="43"/>
      <c r="J441" s="43"/>
      <c r="K441" s="43"/>
      <c r="N441" s="31"/>
      <c r="O441" s="43"/>
    </row>
    <row r="442" spans="3:15" ht="12.5" x14ac:dyDescent="0.25">
      <c r="C442" s="31"/>
      <c r="I442" s="43"/>
      <c r="J442" s="43"/>
      <c r="K442" s="43"/>
      <c r="N442" s="31"/>
      <c r="O442" s="43"/>
    </row>
    <row r="443" spans="3:15" ht="12.5" x14ac:dyDescent="0.25">
      <c r="C443" s="31"/>
      <c r="I443" s="43"/>
      <c r="J443" s="43"/>
      <c r="K443" s="43"/>
      <c r="N443" s="31"/>
      <c r="O443" s="43"/>
    </row>
    <row r="444" spans="3:15" ht="12.5" x14ac:dyDescent="0.25">
      <c r="C444" s="31"/>
      <c r="I444" s="43"/>
      <c r="J444" s="43"/>
      <c r="K444" s="43"/>
      <c r="N444" s="31"/>
      <c r="O444" s="43"/>
    </row>
    <row r="445" spans="3:15" ht="12.5" x14ac:dyDescent="0.25">
      <c r="C445" s="31"/>
      <c r="I445" s="43"/>
      <c r="J445" s="43"/>
      <c r="K445" s="43"/>
      <c r="N445" s="31"/>
      <c r="O445" s="43"/>
    </row>
    <row r="446" spans="3:15" ht="12.5" x14ac:dyDescent="0.25">
      <c r="C446" s="31"/>
      <c r="I446" s="43"/>
      <c r="J446" s="43"/>
      <c r="K446" s="43"/>
      <c r="N446" s="31"/>
      <c r="O446" s="43"/>
    </row>
    <row r="447" spans="3:15" ht="12.5" x14ac:dyDescent="0.25">
      <c r="C447" s="31"/>
      <c r="I447" s="43"/>
      <c r="J447" s="43"/>
      <c r="K447" s="43"/>
      <c r="N447" s="31"/>
      <c r="O447" s="43"/>
    </row>
    <row r="448" spans="3:15" ht="12.5" x14ac:dyDescent="0.25">
      <c r="C448" s="31"/>
      <c r="I448" s="43"/>
      <c r="J448" s="43"/>
      <c r="K448" s="43"/>
      <c r="N448" s="31"/>
      <c r="O448" s="43"/>
    </row>
    <row r="449" spans="3:15" ht="12.5" x14ac:dyDescent="0.25">
      <c r="C449" s="31"/>
      <c r="I449" s="43"/>
      <c r="J449" s="43"/>
      <c r="K449" s="43"/>
      <c r="N449" s="31"/>
      <c r="O449" s="43"/>
    </row>
    <row r="450" spans="3:15" ht="12.5" x14ac:dyDescent="0.25">
      <c r="C450" s="31"/>
      <c r="I450" s="43"/>
      <c r="J450" s="43"/>
      <c r="K450" s="43"/>
      <c r="N450" s="31"/>
      <c r="O450" s="43"/>
    </row>
    <row r="451" spans="3:15" ht="12.5" x14ac:dyDescent="0.25">
      <c r="C451" s="31"/>
      <c r="I451" s="43"/>
      <c r="J451" s="43"/>
      <c r="K451" s="43"/>
      <c r="N451" s="31"/>
      <c r="O451" s="43"/>
    </row>
    <row r="452" spans="3:15" ht="12.5" x14ac:dyDescent="0.25">
      <c r="C452" s="31"/>
      <c r="I452" s="43"/>
      <c r="J452" s="43"/>
      <c r="K452" s="43"/>
      <c r="N452" s="31"/>
      <c r="O452" s="43"/>
    </row>
    <row r="453" spans="3:15" ht="12.5" x14ac:dyDescent="0.25">
      <c r="C453" s="31"/>
      <c r="I453" s="43"/>
      <c r="J453" s="43"/>
      <c r="K453" s="43"/>
      <c r="N453" s="31"/>
      <c r="O453" s="43"/>
    </row>
    <row r="454" spans="3:15" ht="12.5" x14ac:dyDescent="0.25">
      <c r="C454" s="31"/>
      <c r="I454" s="43"/>
      <c r="J454" s="43"/>
      <c r="K454" s="43"/>
      <c r="N454" s="31"/>
      <c r="O454" s="43"/>
    </row>
    <row r="455" spans="3:15" ht="12.5" x14ac:dyDescent="0.25">
      <c r="C455" s="31"/>
      <c r="I455" s="43"/>
      <c r="J455" s="43"/>
      <c r="K455" s="43"/>
      <c r="N455" s="31"/>
      <c r="O455" s="43"/>
    </row>
    <row r="456" spans="3:15" ht="12.5" x14ac:dyDescent="0.25">
      <c r="C456" s="31"/>
      <c r="I456" s="43"/>
      <c r="J456" s="43"/>
      <c r="K456" s="43"/>
      <c r="N456" s="31"/>
      <c r="O456" s="43"/>
    </row>
    <row r="457" spans="3:15" ht="12.5" x14ac:dyDescent="0.25">
      <c r="C457" s="31"/>
      <c r="I457" s="43"/>
      <c r="J457" s="43"/>
      <c r="K457" s="43"/>
      <c r="N457" s="31"/>
      <c r="O457" s="43"/>
    </row>
    <row r="458" spans="3:15" ht="12.5" x14ac:dyDescent="0.25">
      <c r="C458" s="31"/>
      <c r="I458" s="43"/>
      <c r="J458" s="43"/>
      <c r="K458" s="43"/>
      <c r="N458" s="31"/>
      <c r="O458" s="43"/>
    </row>
    <row r="459" spans="3:15" ht="12.5" x14ac:dyDescent="0.25">
      <c r="C459" s="31"/>
      <c r="I459" s="43"/>
      <c r="J459" s="43"/>
      <c r="K459" s="43"/>
      <c r="N459" s="31"/>
      <c r="O459" s="43"/>
    </row>
    <row r="460" spans="3:15" ht="12.5" x14ac:dyDescent="0.25">
      <c r="C460" s="31"/>
      <c r="I460" s="43"/>
      <c r="J460" s="43"/>
      <c r="K460" s="43"/>
      <c r="N460" s="31"/>
      <c r="O460" s="43"/>
    </row>
    <row r="461" spans="3:15" ht="12.5" x14ac:dyDescent="0.25">
      <c r="C461" s="31"/>
      <c r="I461" s="43"/>
      <c r="J461" s="43"/>
      <c r="K461" s="43"/>
      <c r="N461" s="31"/>
      <c r="O461" s="43"/>
    </row>
    <row r="462" spans="3:15" ht="12.5" x14ac:dyDescent="0.25">
      <c r="C462" s="31"/>
      <c r="I462" s="43"/>
      <c r="J462" s="43"/>
      <c r="K462" s="43"/>
      <c r="N462" s="31"/>
      <c r="O462" s="43"/>
    </row>
    <row r="463" spans="3:15" ht="12.5" x14ac:dyDescent="0.25">
      <c r="C463" s="31"/>
      <c r="I463" s="43"/>
      <c r="J463" s="43"/>
      <c r="K463" s="43"/>
      <c r="N463" s="31"/>
      <c r="O463" s="43"/>
    </row>
    <row r="464" spans="3:15" ht="12.5" x14ac:dyDescent="0.25">
      <c r="C464" s="31"/>
      <c r="I464" s="43"/>
      <c r="J464" s="43"/>
      <c r="K464" s="43"/>
      <c r="N464" s="31"/>
      <c r="O464" s="43"/>
    </row>
    <row r="465" spans="3:15" ht="12.5" x14ac:dyDescent="0.25">
      <c r="C465" s="31"/>
      <c r="I465" s="43"/>
      <c r="J465" s="43"/>
      <c r="K465" s="43"/>
      <c r="N465" s="31"/>
      <c r="O465" s="43"/>
    </row>
    <row r="466" spans="3:15" ht="12.5" x14ac:dyDescent="0.25">
      <c r="C466" s="31"/>
      <c r="I466" s="43"/>
      <c r="J466" s="43"/>
      <c r="K466" s="43"/>
      <c r="N466" s="31"/>
      <c r="O466" s="43"/>
    </row>
    <row r="467" spans="3:15" ht="12.5" x14ac:dyDescent="0.25">
      <c r="C467" s="31"/>
      <c r="I467" s="43"/>
      <c r="J467" s="43"/>
      <c r="K467" s="43"/>
      <c r="N467" s="31"/>
      <c r="O467" s="43"/>
    </row>
    <row r="468" spans="3:15" ht="12.5" x14ac:dyDescent="0.25">
      <c r="C468" s="31"/>
      <c r="I468" s="43"/>
      <c r="J468" s="43"/>
      <c r="K468" s="43"/>
      <c r="N468" s="31"/>
      <c r="O468" s="43"/>
    </row>
    <row r="469" spans="3:15" ht="12.5" x14ac:dyDescent="0.25">
      <c r="C469" s="31"/>
      <c r="I469" s="43"/>
      <c r="J469" s="43"/>
      <c r="K469" s="43"/>
      <c r="N469" s="31"/>
      <c r="O469" s="43"/>
    </row>
    <row r="470" spans="3:15" ht="12.5" x14ac:dyDescent="0.25">
      <c r="C470" s="31"/>
      <c r="I470" s="43"/>
      <c r="J470" s="43"/>
      <c r="K470" s="43"/>
      <c r="N470" s="31"/>
      <c r="O470" s="43"/>
    </row>
    <row r="471" spans="3:15" ht="12.5" x14ac:dyDescent="0.25">
      <c r="C471" s="31"/>
      <c r="I471" s="43"/>
      <c r="J471" s="43"/>
      <c r="K471" s="43"/>
      <c r="N471" s="31"/>
      <c r="O471" s="43"/>
    </row>
    <row r="472" spans="3:15" ht="12.5" x14ac:dyDescent="0.25">
      <c r="C472" s="31"/>
      <c r="I472" s="43"/>
      <c r="J472" s="43"/>
      <c r="K472" s="43"/>
      <c r="N472" s="31"/>
      <c r="O472" s="43"/>
    </row>
    <row r="473" spans="3:15" ht="12.5" x14ac:dyDescent="0.25">
      <c r="C473" s="31"/>
      <c r="I473" s="43"/>
      <c r="J473" s="43"/>
      <c r="K473" s="43"/>
      <c r="N473" s="31"/>
      <c r="O473" s="43"/>
    </row>
    <row r="474" spans="3:15" ht="12.5" x14ac:dyDescent="0.25">
      <c r="C474" s="31"/>
      <c r="I474" s="43"/>
      <c r="J474" s="43"/>
      <c r="K474" s="43"/>
      <c r="N474" s="31"/>
      <c r="O474" s="43"/>
    </row>
    <row r="475" spans="3:15" ht="12.5" x14ac:dyDescent="0.25">
      <c r="C475" s="31"/>
      <c r="I475" s="43"/>
      <c r="J475" s="43"/>
      <c r="K475" s="43"/>
      <c r="N475" s="31"/>
      <c r="O475" s="43"/>
    </row>
    <row r="476" spans="3:15" ht="12.5" x14ac:dyDescent="0.25">
      <c r="C476" s="31"/>
      <c r="I476" s="43"/>
      <c r="J476" s="43"/>
      <c r="K476" s="43"/>
      <c r="N476" s="31"/>
      <c r="O476" s="43"/>
    </row>
    <row r="477" spans="3:15" ht="12.5" x14ac:dyDescent="0.25">
      <c r="C477" s="31"/>
      <c r="I477" s="43"/>
      <c r="J477" s="43"/>
      <c r="K477" s="43"/>
      <c r="N477" s="31"/>
      <c r="O477" s="43"/>
    </row>
    <row r="478" spans="3:15" ht="12.5" x14ac:dyDescent="0.25">
      <c r="C478" s="31"/>
      <c r="I478" s="43"/>
      <c r="J478" s="43"/>
      <c r="K478" s="43"/>
      <c r="N478" s="31"/>
      <c r="O478" s="43"/>
    </row>
    <row r="479" spans="3:15" ht="12.5" x14ac:dyDescent="0.25">
      <c r="C479" s="31"/>
      <c r="I479" s="43"/>
      <c r="J479" s="43"/>
      <c r="K479" s="43"/>
      <c r="N479" s="31"/>
      <c r="O479" s="43"/>
    </row>
    <row r="480" spans="3:15" ht="12.5" x14ac:dyDescent="0.25">
      <c r="C480" s="31"/>
      <c r="I480" s="43"/>
      <c r="J480" s="43"/>
      <c r="K480" s="43"/>
      <c r="N480" s="31"/>
      <c r="O480" s="43"/>
    </row>
    <row r="481" spans="3:15" ht="12.5" x14ac:dyDescent="0.25">
      <c r="C481" s="31"/>
      <c r="I481" s="43"/>
      <c r="J481" s="43"/>
      <c r="K481" s="43"/>
      <c r="N481" s="31"/>
      <c r="O481" s="43"/>
    </row>
    <row r="482" spans="3:15" ht="12.5" x14ac:dyDescent="0.25">
      <c r="C482" s="31"/>
      <c r="I482" s="43"/>
      <c r="J482" s="43"/>
      <c r="K482" s="43"/>
      <c r="N482" s="31"/>
      <c r="O482" s="43"/>
    </row>
    <row r="483" spans="3:15" ht="12.5" x14ac:dyDescent="0.25">
      <c r="C483" s="31"/>
      <c r="I483" s="43"/>
      <c r="J483" s="43"/>
      <c r="K483" s="43"/>
      <c r="N483" s="31"/>
      <c r="O483" s="43"/>
    </row>
    <row r="484" spans="3:15" ht="12.5" x14ac:dyDescent="0.25">
      <c r="C484" s="31"/>
      <c r="I484" s="43"/>
      <c r="J484" s="43"/>
      <c r="K484" s="43"/>
      <c r="N484" s="31"/>
      <c r="O484" s="43"/>
    </row>
    <row r="485" spans="3:15" ht="12.5" x14ac:dyDescent="0.25">
      <c r="C485" s="31"/>
      <c r="I485" s="43"/>
      <c r="J485" s="43"/>
      <c r="K485" s="43"/>
      <c r="N485" s="31"/>
      <c r="O485" s="43"/>
    </row>
    <row r="486" spans="3:15" ht="12.5" x14ac:dyDescent="0.25">
      <c r="C486" s="31"/>
      <c r="I486" s="43"/>
      <c r="J486" s="43"/>
      <c r="K486" s="43"/>
      <c r="N486" s="31"/>
      <c r="O486" s="43"/>
    </row>
    <row r="487" spans="3:15" ht="12.5" x14ac:dyDescent="0.25">
      <c r="C487" s="31"/>
      <c r="I487" s="43"/>
      <c r="J487" s="43"/>
      <c r="K487" s="43"/>
      <c r="N487" s="31"/>
      <c r="O487" s="43"/>
    </row>
    <row r="488" spans="3:15" ht="12.5" x14ac:dyDescent="0.25">
      <c r="C488" s="31"/>
      <c r="I488" s="43"/>
      <c r="J488" s="43"/>
      <c r="K488" s="43"/>
      <c r="N488" s="31"/>
      <c r="O488" s="43"/>
    </row>
    <row r="489" spans="3:15" ht="12.5" x14ac:dyDescent="0.25">
      <c r="C489" s="31"/>
      <c r="I489" s="43"/>
      <c r="J489" s="43"/>
      <c r="K489" s="43"/>
      <c r="N489" s="31"/>
      <c r="O489" s="43"/>
    </row>
    <row r="490" spans="3:15" ht="12.5" x14ac:dyDescent="0.25">
      <c r="C490" s="31"/>
      <c r="I490" s="43"/>
      <c r="J490" s="43"/>
      <c r="K490" s="43"/>
      <c r="N490" s="31"/>
      <c r="O490" s="43"/>
    </row>
    <row r="491" spans="3:15" ht="12.5" x14ac:dyDescent="0.25">
      <c r="C491" s="31"/>
      <c r="I491" s="43"/>
      <c r="J491" s="43"/>
      <c r="K491" s="43"/>
      <c r="N491" s="31"/>
      <c r="O491" s="43"/>
    </row>
    <row r="492" spans="3:15" ht="12.5" x14ac:dyDescent="0.25">
      <c r="C492" s="31"/>
      <c r="I492" s="43"/>
      <c r="J492" s="43"/>
      <c r="K492" s="43"/>
      <c r="N492" s="31"/>
      <c r="O492" s="43"/>
    </row>
    <row r="493" spans="3:15" ht="12.5" x14ac:dyDescent="0.25">
      <c r="C493" s="31"/>
      <c r="I493" s="43"/>
      <c r="J493" s="43"/>
      <c r="K493" s="43"/>
      <c r="N493" s="31"/>
      <c r="O493" s="43"/>
    </row>
    <row r="494" spans="3:15" ht="12.5" x14ac:dyDescent="0.25">
      <c r="C494" s="31"/>
      <c r="I494" s="43"/>
      <c r="J494" s="43"/>
      <c r="K494" s="43"/>
      <c r="N494" s="31"/>
      <c r="O494" s="43"/>
    </row>
    <row r="495" spans="3:15" ht="12.5" x14ac:dyDescent="0.25">
      <c r="C495" s="31"/>
      <c r="I495" s="43"/>
      <c r="J495" s="43"/>
      <c r="K495" s="43"/>
      <c r="N495" s="31"/>
      <c r="O495" s="43"/>
    </row>
    <row r="496" spans="3:15" ht="12.5" x14ac:dyDescent="0.25">
      <c r="C496" s="31"/>
      <c r="I496" s="43"/>
      <c r="J496" s="43"/>
      <c r="K496" s="43"/>
      <c r="N496" s="31"/>
      <c r="O496" s="43"/>
    </row>
    <row r="497" spans="3:15" ht="12.5" x14ac:dyDescent="0.25">
      <c r="C497" s="31"/>
      <c r="I497" s="43"/>
      <c r="J497" s="43"/>
      <c r="K497" s="43"/>
      <c r="N497" s="31"/>
      <c r="O497" s="43"/>
    </row>
    <row r="498" spans="3:15" ht="12.5" x14ac:dyDescent="0.25">
      <c r="C498" s="31"/>
      <c r="I498" s="43"/>
      <c r="J498" s="43"/>
      <c r="K498" s="43"/>
      <c r="N498" s="31"/>
      <c r="O498" s="43"/>
    </row>
    <row r="499" spans="3:15" ht="12.5" x14ac:dyDescent="0.25">
      <c r="C499" s="31"/>
      <c r="I499" s="43"/>
      <c r="J499" s="43"/>
      <c r="K499" s="43"/>
      <c r="N499" s="31"/>
      <c r="O499" s="43"/>
    </row>
    <row r="500" spans="3:15" ht="12.5" x14ac:dyDescent="0.25">
      <c r="C500" s="31"/>
      <c r="I500" s="43"/>
      <c r="J500" s="43"/>
      <c r="K500" s="43"/>
      <c r="N500" s="31"/>
      <c r="O500" s="43"/>
    </row>
    <row r="501" spans="3:15" ht="12.5" x14ac:dyDescent="0.25">
      <c r="C501" s="31"/>
      <c r="I501" s="43"/>
      <c r="J501" s="43"/>
      <c r="K501" s="43"/>
      <c r="N501" s="31"/>
      <c r="O501" s="43"/>
    </row>
    <row r="502" spans="3:15" ht="12.5" x14ac:dyDescent="0.25">
      <c r="C502" s="31"/>
      <c r="I502" s="43"/>
      <c r="J502" s="43"/>
      <c r="K502" s="43"/>
      <c r="N502" s="31"/>
      <c r="O502" s="43"/>
    </row>
    <row r="503" spans="3:15" ht="12.5" x14ac:dyDescent="0.25">
      <c r="C503" s="31"/>
      <c r="I503" s="43"/>
      <c r="J503" s="43"/>
      <c r="K503" s="43"/>
      <c r="N503" s="31"/>
      <c r="O503" s="43"/>
    </row>
    <row r="504" spans="3:15" ht="12.5" x14ac:dyDescent="0.25">
      <c r="C504" s="31"/>
      <c r="I504" s="43"/>
      <c r="J504" s="43"/>
      <c r="K504" s="43"/>
      <c r="N504" s="31"/>
      <c r="O504" s="43"/>
    </row>
    <row r="505" spans="3:15" ht="12.5" x14ac:dyDescent="0.25">
      <c r="C505" s="31"/>
      <c r="I505" s="43"/>
      <c r="J505" s="43"/>
      <c r="K505" s="43"/>
      <c r="N505" s="31"/>
      <c r="O505" s="43"/>
    </row>
    <row r="506" spans="3:15" ht="12.5" x14ac:dyDescent="0.25">
      <c r="C506" s="31"/>
      <c r="I506" s="43"/>
      <c r="J506" s="43"/>
      <c r="K506" s="43"/>
      <c r="N506" s="31"/>
      <c r="O506" s="43"/>
    </row>
    <row r="507" spans="3:15" ht="12.5" x14ac:dyDescent="0.25">
      <c r="C507" s="31"/>
      <c r="I507" s="43"/>
      <c r="J507" s="43"/>
      <c r="K507" s="43"/>
      <c r="N507" s="31"/>
      <c r="O507" s="43"/>
    </row>
    <row r="508" spans="3:15" ht="12.5" x14ac:dyDescent="0.25">
      <c r="C508" s="31"/>
      <c r="I508" s="43"/>
      <c r="J508" s="43"/>
      <c r="K508" s="43"/>
      <c r="N508" s="31"/>
      <c r="O508" s="43"/>
    </row>
    <row r="509" spans="3:15" ht="12.5" x14ac:dyDescent="0.25">
      <c r="C509" s="31"/>
      <c r="I509" s="43"/>
      <c r="J509" s="43"/>
      <c r="K509" s="43"/>
      <c r="N509" s="31"/>
      <c r="O509" s="43"/>
    </row>
    <row r="510" spans="3:15" ht="12.5" x14ac:dyDescent="0.25">
      <c r="C510" s="31"/>
      <c r="I510" s="43"/>
      <c r="J510" s="43"/>
      <c r="K510" s="43"/>
      <c r="N510" s="31"/>
      <c r="O510" s="43"/>
    </row>
    <row r="511" spans="3:15" ht="12.5" x14ac:dyDescent="0.25">
      <c r="C511" s="31"/>
      <c r="I511" s="43"/>
      <c r="J511" s="43"/>
      <c r="K511" s="43"/>
      <c r="N511" s="31"/>
      <c r="O511" s="43"/>
    </row>
    <row r="512" spans="3:15" ht="12.5" x14ac:dyDescent="0.25">
      <c r="C512" s="31"/>
      <c r="I512" s="43"/>
      <c r="J512" s="43"/>
      <c r="K512" s="43"/>
      <c r="N512" s="31"/>
      <c r="O512" s="43"/>
    </row>
    <row r="513" spans="3:15" ht="12.5" x14ac:dyDescent="0.25">
      <c r="C513" s="31"/>
      <c r="I513" s="43"/>
      <c r="J513" s="43"/>
      <c r="K513" s="43"/>
      <c r="N513" s="31"/>
      <c r="O513" s="43"/>
    </row>
    <row r="514" spans="3:15" ht="12.5" x14ac:dyDescent="0.25">
      <c r="C514" s="31"/>
      <c r="I514" s="43"/>
      <c r="J514" s="43"/>
      <c r="K514" s="43"/>
      <c r="N514" s="31"/>
      <c r="O514" s="43"/>
    </row>
    <row r="515" spans="3:15" ht="12.5" x14ac:dyDescent="0.25">
      <c r="C515" s="31"/>
      <c r="I515" s="43"/>
      <c r="J515" s="43"/>
      <c r="K515" s="43"/>
      <c r="N515" s="31"/>
      <c r="O515" s="43"/>
    </row>
    <row r="516" spans="3:15" ht="12.5" x14ac:dyDescent="0.25">
      <c r="C516" s="31"/>
      <c r="I516" s="43"/>
      <c r="J516" s="43"/>
      <c r="K516" s="43"/>
      <c r="N516" s="31"/>
      <c r="O516" s="43"/>
    </row>
    <row r="517" spans="3:15" ht="12.5" x14ac:dyDescent="0.25">
      <c r="C517" s="31"/>
      <c r="I517" s="43"/>
      <c r="J517" s="43"/>
      <c r="K517" s="43"/>
      <c r="N517" s="31"/>
      <c r="O517" s="43"/>
    </row>
    <row r="518" spans="3:15" ht="12.5" x14ac:dyDescent="0.25">
      <c r="C518" s="31"/>
      <c r="I518" s="43"/>
      <c r="J518" s="43"/>
      <c r="K518" s="43"/>
      <c r="N518" s="31"/>
      <c r="O518" s="43"/>
    </row>
    <row r="519" spans="3:15" ht="12.5" x14ac:dyDescent="0.25">
      <c r="C519" s="31"/>
      <c r="I519" s="43"/>
      <c r="J519" s="43"/>
      <c r="K519" s="43"/>
      <c r="N519" s="31"/>
      <c r="O519" s="43"/>
    </row>
    <row r="520" spans="3:15" ht="12.5" x14ac:dyDescent="0.25">
      <c r="C520" s="31"/>
      <c r="I520" s="43"/>
      <c r="J520" s="43"/>
      <c r="K520" s="43"/>
      <c r="N520" s="31"/>
      <c r="O520" s="43"/>
    </row>
    <row r="521" spans="3:15" ht="12.5" x14ac:dyDescent="0.25">
      <c r="C521" s="31"/>
      <c r="I521" s="43"/>
      <c r="J521" s="43"/>
      <c r="K521" s="43"/>
      <c r="N521" s="31"/>
      <c r="O521" s="43"/>
    </row>
    <row r="522" spans="3:15" ht="12.5" x14ac:dyDescent="0.25">
      <c r="C522" s="31"/>
      <c r="I522" s="43"/>
      <c r="J522" s="43"/>
      <c r="K522" s="43"/>
      <c r="N522" s="31"/>
      <c r="O522" s="43"/>
    </row>
    <row r="523" spans="3:15" ht="12.5" x14ac:dyDescent="0.25">
      <c r="C523" s="31"/>
      <c r="I523" s="43"/>
      <c r="J523" s="43"/>
      <c r="K523" s="43"/>
      <c r="N523" s="31"/>
      <c r="O523" s="43"/>
    </row>
    <row r="524" spans="3:15" ht="12.5" x14ac:dyDescent="0.25">
      <c r="C524" s="31"/>
      <c r="I524" s="43"/>
      <c r="J524" s="43"/>
      <c r="K524" s="43"/>
      <c r="N524" s="31"/>
      <c r="O524" s="43"/>
    </row>
    <row r="525" spans="3:15" ht="12.5" x14ac:dyDescent="0.25">
      <c r="C525" s="31"/>
      <c r="I525" s="43"/>
      <c r="J525" s="43"/>
      <c r="K525" s="43"/>
      <c r="N525" s="31"/>
      <c r="O525" s="43"/>
    </row>
    <row r="526" spans="3:15" ht="12.5" x14ac:dyDescent="0.25">
      <c r="C526" s="31"/>
      <c r="I526" s="43"/>
      <c r="J526" s="43"/>
      <c r="K526" s="43"/>
      <c r="N526" s="31"/>
      <c r="O526" s="43"/>
    </row>
    <row r="527" spans="3:15" ht="12.5" x14ac:dyDescent="0.25">
      <c r="C527" s="31"/>
      <c r="I527" s="43"/>
      <c r="J527" s="43"/>
      <c r="K527" s="43"/>
      <c r="N527" s="31"/>
      <c r="O527" s="43"/>
    </row>
    <row r="528" spans="3:15" ht="12.5" x14ac:dyDescent="0.25">
      <c r="C528" s="31"/>
      <c r="I528" s="43"/>
      <c r="J528" s="43"/>
      <c r="K528" s="43"/>
      <c r="N528" s="31"/>
      <c r="O528" s="43"/>
    </row>
    <row r="529" spans="3:15" ht="12.5" x14ac:dyDescent="0.25">
      <c r="C529" s="31"/>
      <c r="I529" s="43"/>
      <c r="J529" s="43"/>
      <c r="K529" s="43"/>
      <c r="N529" s="31"/>
      <c r="O529" s="43"/>
    </row>
    <row r="530" spans="3:15" ht="12.5" x14ac:dyDescent="0.25">
      <c r="C530" s="31"/>
      <c r="I530" s="43"/>
      <c r="J530" s="43"/>
      <c r="K530" s="43"/>
      <c r="N530" s="31"/>
      <c r="O530" s="43"/>
    </row>
    <row r="531" spans="3:15" ht="12.5" x14ac:dyDescent="0.25">
      <c r="C531" s="31"/>
      <c r="I531" s="43"/>
      <c r="J531" s="43"/>
      <c r="K531" s="43"/>
      <c r="N531" s="31"/>
      <c r="O531" s="43"/>
    </row>
    <row r="532" spans="3:15" ht="12.5" x14ac:dyDescent="0.25">
      <c r="C532" s="31"/>
      <c r="I532" s="43"/>
      <c r="J532" s="43"/>
      <c r="K532" s="43"/>
      <c r="N532" s="31"/>
      <c r="O532" s="43"/>
    </row>
    <row r="533" spans="3:15" ht="12.5" x14ac:dyDescent="0.25">
      <c r="C533" s="31"/>
      <c r="I533" s="43"/>
      <c r="J533" s="43"/>
      <c r="K533" s="43"/>
      <c r="N533" s="31"/>
      <c r="O533" s="43"/>
    </row>
    <row r="534" spans="3:15" ht="12.5" x14ac:dyDescent="0.25">
      <c r="C534" s="31"/>
      <c r="I534" s="43"/>
      <c r="J534" s="43"/>
      <c r="K534" s="43"/>
      <c r="N534" s="31"/>
      <c r="O534" s="43"/>
    </row>
    <row r="535" spans="3:15" ht="12.5" x14ac:dyDescent="0.25">
      <c r="C535" s="31"/>
      <c r="I535" s="43"/>
      <c r="J535" s="43"/>
      <c r="K535" s="43"/>
      <c r="N535" s="31"/>
      <c r="O535" s="43"/>
    </row>
    <row r="536" spans="3:15" ht="12.5" x14ac:dyDescent="0.25">
      <c r="C536" s="31"/>
      <c r="I536" s="43"/>
      <c r="J536" s="43"/>
      <c r="K536" s="43"/>
      <c r="N536" s="31"/>
      <c r="O536" s="43"/>
    </row>
    <row r="537" spans="3:15" ht="12.5" x14ac:dyDescent="0.25">
      <c r="C537" s="31"/>
      <c r="I537" s="43"/>
      <c r="J537" s="43"/>
      <c r="K537" s="43"/>
      <c r="N537" s="31"/>
      <c r="O537" s="43"/>
    </row>
    <row r="538" spans="3:15" ht="12.5" x14ac:dyDescent="0.25">
      <c r="C538" s="31"/>
      <c r="I538" s="43"/>
      <c r="J538" s="43"/>
      <c r="K538" s="43"/>
      <c r="N538" s="31"/>
      <c r="O538" s="43"/>
    </row>
    <row r="539" spans="3:15" ht="12.5" x14ac:dyDescent="0.25">
      <c r="C539" s="31"/>
      <c r="I539" s="43"/>
      <c r="J539" s="43"/>
      <c r="K539" s="43"/>
      <c r="N539" s="31"/>
      <c r="O539" s="43"/>
    </row>
    <row r="540" spans="3:15" ht="12.5" x14ac:dyDescent="0.25">
      <c r="C540" s="31"/>
      <c r="I540" s="43"/>
      <c r="J540" s="43"/>
      <c r="K540" s="43"/>
      <c r="N540" s="31"/>
      <c r="O540" s="43"/>
    </row>
    <row r="541" spans="3:15" ht="12.5" x14ac:dyDescent="0.25">
      <c r="C541" s="31"/>
      <c r="I541" s="43"/>
      <c r="J541" s="43"/>
      <c r="K541" s="43"/>
      <c r="N541" s="31"/>
      <c r="O541" s="43"/>
    </row>
    <row r="542" spans="3:15" ht="12.5" x14ac:dyDescent="0.25">
      <c r="C542" s="31"/>
      <c r="I542" s="43"/>
      <c r="J542" s="43"/>
      <c r="K542" s="43"/>
      <c r="N542" s="31"/>
      <c r="O542" s="43"/>
    </row>
    <row r="543" spans="3:15" ht="12.5" x14ac:dyDescent="0.25">
      <c r="C543" s="31"/>
      <c r="I543" s="43"/>
      <c r="J543" s="43"/>
      <c r="K543" s="43"/>
      <c r="N543" s="31"/>
      <c r="O543" s="43"/>
    </row>
    <row r="544" spans="3:15" ht="12.5" x14ac:dyDescent="0.25">
      <c r="C544" s="31"/>
      <c r="I544" s="43"/>
      <c r="J544" s="43"/>
      <c r="K544" s="43"/>
      <c r="N544" s="31"/>
      <c r="O544" s="43"/>
    </row>
    <row r="545" spans="3:15" ht="12.5" x14ac:dyDescent="0.25">
      <c r="C545" s="31"/>
      <c r="I545" s="43"/>
      <c r="J545" s="43"/>
      <c r="K545" s="43"/>
      <c r="N545" s="31"/>
      <c r="O545" s="43"/>
    </row>
    <row r="546" spans="3:15" ht="12.5" x14ac:dyDescent="0.25">
      <c r="C546" s="31"/>
      <c r="I546" s="43"/>
      <c r="J546" s="43"/>
      <c r="K546" s="43"/>
      <c r="N546" s="31"/>
      <c r="O546" s="43"/>
    </row>
    <row r="547" spans="3:15" ht="12.5" x14ac:dyDescent="0.25">
      <c r="C547" s="31"/>
      <c r="I547" s="43"/>
      <c r="J547" s="43"/>
      <c r="K547" s="43"/>
      <c r="N547" s="31"/>
      <c r="O547" s="43"/>
    </row>
    <row r="548" spans="3:15" ht="12.5" x14ac:dyDescent="0.25">
      <c r="C548" s="31"/>
      <c r="I548" s="43"/>
      <c r="J548" s="43"/>
      <c r="K548" s="43"/>
      <c r="N548" s="31"/>
      <c r="O548" s="43"/>
    </row>
    <row r="549" spans="3:15" ht="12.5" x14ac:dyDescent="0.25">
      <c r="C549" s="31"/>
      <c r="I549" s="43"/>
      <c r="J549" s="43"/>
      <c r="K549" s="43"/>
      <c r="N549" s="31"/>
      <c r="O549" s="43"/>
    </row>
    <row r="550" spans="3:15" ht="12.5" x14ac:dyDescent="0.25">
      <c r="C550" s="31"/>
      <c r="I550" s="43"/>
      <c r="J550" s="43"/>
      <c r="K550" s="43"/>
      <c r="N550" s="31"/>
      <c r="O550" s="43"/>
    </row>
    <row r="551" spans="3:15" ht="12.5" x14ac:dyDescent="0.25">
      <c r="C551" s="31"/>
      <c r="I551" s="43"/>
      <c r="J551" s="43"/>
      <c r="K551" s="43"/>
      <c r="N551" s="31"/>
      <c r="O551" s="43"/>
    </row>
    <row r="552" spans="3:15" ht="12.5" x14ac:dyDescent="0.25">
      <c r="C552" s="31"/>
      <c r="I552" s="43"/>
      <c r="J552" s="43"/>
      <c r="K552" s="43"/>
      <c r="N552" s="31"/>
      <c r="O552" s="43"/>
    </row>
    <row r="553" spans="3:15" ht="12.5" x14ac:dyDescent="0.25">
      <c r="C553" s="31"/>
      <c r="I553" s="43"/>
      <c r="J553" s="43"/>
      <c r="K553" s="43"/>
      <c r="N553" s="31"/>
      <c r="O553" s="43"/>
    </row>
    <row r="554" spans="3:15" ht="12.5" x14ac:dyDescent="0.25">
      <c r="C554" s="31"/>
      <c r="I554" s="43"/>
      <c r="J554" s="43"/>
      <c r="K554" s="43"/>
      <c r="N554" s="31"/>
      <c r="O554" s="43"/>
    </row>
    <row r="555" spans="3:15" ht="12.5" x14ac:dyDescent="0.25">
      <c r="C555" s="31"/>
      <c r="I555" s="43"/>
      <c r="J555" s="43"/>
      <c r="K555" s="43"/>
      <c r="N555" s="31"/>
      <c r="O555" s="43"/>
    </row>
    <row r="556" spans="3:15" ht="12.5" x14ac:dyDescent="0.25">
      <c r="C556" s="31"/>
      <c r="I556" s="43"/>
      <c r="J556" s="43"/>
      <c r="K556" s="43"/>
      <c r="N556" s="31"/>
      <c r="O556" s="43"/>
    </row>
    <row r="557" spans="3:15" ht="12.5" x14ac:dyDescent="0.25">
      <c r="C557" s="31"/>
      <c r="I557" s="43"/>
      <c r="J557" s="43"/>
      <c r="K557" s="43"/>
      <c r="N557" s="31"/>
      <c r="O557" s="43"/>
    </row>
    <row r="558" spans="3:15" ht="12.5" x14ac:dyDescent="0.25">
      <c r="C558" s="31"/>
      <c r="I558" s="43"/>
      <c r="J558" s="43"/>
      <c r="K558" s="43"/>
      <c r="N558" s="31"/>
      <c r="O558" s="43"/>
    </row>
    <row r="559" spans="3:15" ht="12.5" x14ac:dyDescent="0.25">
      <c r="C559" s="31"/>
      <c r="I559" s="43"/>
      <c r="J559" s="43"/>
      <c r="K559" s="43"/>
      <c r="N559" s="31"/>
      <c r="O559" s="43"/>
    </row>
    <row r="560" spans="3:15" ht="12.5" x14ac:dyDescent="0.25">
      <c r="C560" s="31"/>
      <c r="I560" s="43"/>
      <c r="J560" s="43"/>
      <c r="K560" s="43"/>
      <c r="N560" s="31"/>
      <c r="O560" s="43"/>
    </row>
    <row r="561" spans="3:15" ht="12.5" x14ac:dyDescent="0.25">
      <c r="C561" s="31"/>
      <c r="I561" s="43"/>
      <c r="J561" s="43"/>
      <c r="K561" s="43"/>
      <c r="N561" s="31"/>
      <c r="O561" s="43"/>
    </row>
    <row r="562" spans="3:15" ht="12.5" x14ac:dyDescent="0.25">
      <c r="C562" s="31"/>
      <c r="I562" s="43"/>
      <c r="J562" s="43"/>
      <c r="K562" s="43"/>
      <c r="N562" s="31"/>
      <c r="O562" s="43"/>
    </row>
    <row r="563" spans="3:15" ht="12.5" x14ac:dyDescent="0.25">
      <c r="C563" s="31"/>
      <c r="I563" s="43"/>
      <c r="J563" s="43"/>
      <c r="K563" s="43"/>
      <c r="N563" s="31"/>
      <c r="O563" s="43"/>
    </row>
    <row r="564" spans="3:15" ht="12.5" x14ac:dyDescent="0.25">
      <c r="C564" s="31"/>
      <c r="I564" s="43"/>
      <c r="J564" s="43"/>
      <c r="K564" s="43"/>
      <c r="N564" s="31"/>
      <c r="O564" s="43"/>
    </row>
    <row r="565" spans="3:15" ht="12.5" x14ac:dyDescent="0.25">
      <c r="C565" s="31"/>
      <c r="I565" s="43"/>
      <c r="J565" s="43"/>
      <c r="K565" s="43"/>
      <c r="N565" s="31"/>
      <c r="O565" s="43"/>
    </row>
    <row r="566" spans="3:15" ht="12.5" x14ac:dyDescent="0.25">
      <c r="C566" s="31"/>
      <c r="I566" s="43"/>
      <c r="J566" s="43"/>
      <c r="K566" s="43"/>
      <c r="N566" s="31"/>
      <c r="O566" s="43"/>
    </row>
    <row r="567" spans="3:15" ht="12.5" x14ac:dyDescent="0.25">
      <c r="C567" s="31"/>
      <c r="I567" s="43"/>
      <c r="J567" s="43"/>
      <c r="K567" s="43"/>
      <c r="N567" s="31"/>
      <c r="O567" s="43"/>
    </row>
    <row r="568" spans="3:15" ht="12.5" x14ac:dyDescent="0.25">
      <c r="C568" s="31"/>
      <c r="I568" s="43"/>
      <c r="J568" s="43"/>
      <c r="K568" s="43"/>
      <c r="N568" s="31"/>
      <c r="O568" s="43"/>
    </row>
    <row r="569" spans="3:15" ht="12.5" x14ac:dyDescent="0.25">
      <c r="C569" s="31"/>
      <c r="I569" s="43"/>
      <c r="J569" s="43"/>
      <c r="K569" s="43"/>
      <c r="N569" s="31"/>
      <c r="O569" s="43"/>
    </row>
    <row r="570" spans="3:15" ht="12.5" x14ac:dyDescent="0.25">
      <c r="C570" s="31"/>
      <c r="I570" s="43"/>
      <c r="J570" s="43"/>
      <c r="K570" s="43"/>
      <c r="N570" s="31"/>
      <c r="O570" s="43"/>
    </row>
    <row r="571" spans="3:15" ht="12.5" x14ac:dyDescent="0.25">
      <c r="C571" s="31"/>
      <c r="I571" s="43"/>
      <c r="J571" s="43"/>
      <c r="K571" s="43"/>
      <c r="N571" s="31"/>
      <c r="O571" s="43"/>
    </row>
    <row r="572" spans="3:15" ht="12.5" x14ac:dyDescent="0.25">
      <c r="C572" s="31"/>
      <c r="I572" s="43"/>
      <c r="J572" s="43"/>
      <c r="K572" s="43"/>
      <c r="N572" s="31"/>
      <c r="O572" s="43"/>
    </row>
    <row r="573" spans="3:15" ht="12.5" x14ac:dyDescent="0.25">
      <c r="C573" s="31"/>
      <c r="I573" s="43"/>
      <c r="J573" s="43"/>
      <c r="K573" s="43"/>
      <c r="N573" s="31"/>
      <c r="O573" s="43"/>
    </row>
    <row r="574" spans="3:15" ht="12.5" x14ac:dyDescent="0.25">
      <c r="C574" s="31"/>
      <c r="I574" s="43"/>
      <c r="J574" s="43"/>
      <c r="K574" s="43"/>
      <c r="N574" s="31"/>
      <c r="O574" s="43"/>
    </row>
    <row r="575" spans="3:15" ht="12.5" x14ac:dyDescent="0.25">
      <c r="C575" s="31"/>
      <c r="I575" s="43"/>
      <c r="J575" s="43"/>
      <c r="K575" s="43"/>
      <c r="N575" s="31"/>
      <c r="O575" s="43"/>
    </row>
    <row r="576" spans="3:15" ht="12.5" x14ac:dyDescent="0.25">
      <c r="C576" s="31"/>
      <c r="I576" s="43"/>
      <c r="J576" s="43"/>
      <c r="K576" s="43"/>
      <c r="N576" s="31"/>
      <c r="O576" s="43"/>
    </row>
    <row r="577" spans="3:15" ht="12.5" x14ac:dyDescent="0.25">
      <c r="C577" s="31"/>
      <c r="I577" s="43"/>
      <c r="J577" s="43"/>
      <c r="K577" s="43"/>
      <c r="N577" s="31"/>
      <c r="O577" s="43"/>
    </row>
    <row r="578" spans="3:15" ht="12.5" x14ac:dyDescent="0.25">
      <c r="C578" s="31"/>
      <c r="I578" s="43"/>
      <c r="J578" s="43"/>
      <c r="K578" s="43"/>
      <c r="N578" s="31"/>
      <c r="O578" s="43"/>
    </row>
    <row r="579" spans="3:15" ht="12.5" x14ac:dyDescent="0.25">
      <c r="C579" s="31"/>
      <c r="I579" s="43"/>
      <c r="J579" s="43"/>
      <c r="K579" s="43"/>
      <c r="N579" s="31"/>
      <c r="O579" s="43"/>
    </row>
    <row r="580" spans="3:15" ht="12.5" x14ac:dyDescent="0.25">
      <c r="C580" s="31"/>
      <c r="I580" s="43"/>
      <c r="J580" s="43"/>
      <c r="K580" s="43"/>
      <c r="N580" s="31"/>
      <c r="O580" s="43"/>
    </row>
    <row r="581" spans="3:15" ht="12.5" x14ac:dyDescent="0.25">
      <c r="C581" s="31"/>
      <c r="I581" s="43"/>
      <c r="J581" s="43"/>
      <c r="K581" s="43"/>
      <c r="N581" s="31"/>
      <c r="O581" s="43"/>
    </row>
    <row r="582" spans="3:15" ht="12.5" x14ac:dyDescent="0.25">
      <c r="C582" s="31"/>
      <c r="I582" s="43"/>
      <c r="J582" s="43"/>
      <c r="K582" s="43"/>
      <c r="N582" s="31"/>
      <c r="O582" s="43"/>
    </row>
    <row r="583" spans="3:15" ht="12.5" x14ac:dyDescent="0.25">
      <c r="C583" s="31"/>
      <c r="I583" s="43"/>
      <c r="J583" s="43"/>
      <c r="K583" s="43"/>
      <c r="N583" s="31"/>
      <c r="O583" s="43"/>
    </row>
    <row r="584" spans="3:15" ht="12.5" x14ac:dyDescent="0.25">
      <c r="C584" s="31"/>
      <c r="I584" s="43"/>
      <c r="J584" s="43"/>
      <c r="K584" s="43"/>
      <c r="N584" s="31"/>
      <c r="O584" s="43"/>
    </row>
    <row r="585" spans="3:15" ht="12.5" x14ac:dyDescent="0.25">
      <c r="C585" s="31"/>
      <c r="I585" s="43"/>
      <c r="J585" s="43"/>
      <c r="K585" s="43"/>
      <c r="N585" s="31"/>
      <c r="O585" s="43"/>
    </row>
    <row r="586" spans="3:15" ht="12.5" x14ac:dyDescent="0.25">
      <c r="C586" s="31"/>
      <c r="I586" s="43"/>
      <c r="J586" s="43"/>
      <c r="K586" s="43"/>
      <c r="N586" s="31"/>
      <c r="O586" s="43"/>
    </row>
    <row r="587" spans="3:15" ht="12.5" x14ac:dyDescent="0.25">
      <c r="C587" s="31"/>
      <c r="I587" s="43"/>
      <c r="J587" s="43"/>
      <c r="K587" s="43"/>
      <c r="N587" s="31"/>
      <c r="O587" s="43"/>
    </row>
    <row r="588" spans="3:15" ht="12.5" x14ac:dyDescent="0.25">
      <c r="C588" s="31"/>
      <c r="I588" s="43"/>
      <c r="J588" s="43"/>
      <c r="K588" s="43"/>
      <c r="N588" s="31"/>
      <c r="O588" s="43"/>
    </row>
    <row r="589" spans="3:15" ht="12.5" x14ac:dyDescent="0.25">
      <c r="C589" s="31"/>
      <c r="I589" s="43"/>
      <c r="J589" s="43"/>
      <c r="K589" s="43"/>
      <c r="N589" s="31"/>
      <c r="O589" s="43"/>
    </row>
    <row r="590" spans="3:15" ht="12.5" x14ac:dyDescent="0.25">
      <c r="C590" s="31"/>
      <c r="I590" s="43"/>
      <c r="J590" s="43"/>
      <c r="K590" s="43"/>
      <c r="N590" s="31"/>
      <c r="O590" s="43"/>
    </row>
    <row r="591" spans="3:15" ht="12.5" x14ac:dyDescent="0.25">
      <c r="C591" s="31"/>
      <c r="I591" s="43"/>
      <c r="J591" s="43"/>
      <c r="K591" s="43"/>
      <c r="N591" s="31"/>
      <c r="O591" s="43"/>
    </row>
    <row r="592" spans="3:15" ht="12.5" x14ac:dyDescent="0.25">
      <c r="C592" s="31"/>
      <c r="I592" s="43"/>
      <c r="J592" s="43"/>
      <c r="K592" s="43"/>
      <c r="N592" s="31"/>
      <c r="O592" s="43"/>
    </row>
    <row r="593" spans="3:15" ht="12.5" x14ac:dyDescent="0.25">
      <c r="C593" s="31"/>
      <c r="I593" s="43"/>
      <c r="J593" s="43"/>
      <c r="K593" s="43"/>
      <c r="N593" s="31"/>
      <c r="O593" s="43"/>
    </row>
    <row r="594" spans="3:15" ht="12.5" x14ac:dyDescent="0.25">
      <c r="C594" s="31"/>
      <c r="I594" s="43"/>
      <c r="J594" s="43"/>
      <c r="K594" s="43"/>
      <c r="N594" s="31"/>
      <c r="O594" s="43"/>
    </row>
    <row r="595" spans="3:15" ht="12.5" x14ac:dyDescent="0.25">
      <c r="C595" s="31"/>
      <c r="I595" s="43"/>
      <c r="J595" s="43"/>
      <c r="K595" s="43"/>
      <c r="N595" s="31"/>
      <c r="O595" s="43"/>
    </row>
    <row r="596" spans="3:15" ht="12.5" x14ac:dyDescent="0.25">
      <c r="C596" s="31"/>
      <c r="I596" s="43"/>
      <c r="J596" s="43"/>
      <c r="K596" s="43"/>
      <c r="N596" s="31"/>
      <c r="O596" s="43"/>
    </row>
    <row r="597" spans="3:15" ht="12.5" x14ac:dyDescent="0.25">
      <c r="C597" s="31"/>
      <c r="I597" s="43"/>
      <c r="J597" s="43"/>
      <c r="K597" s="43"/>
      <c r="N597" s="31"/>
      <c r="O597" s="43"/>
    </row>
    <row r="598" spans="3:15" ht="12.5" x14ac:dyDescent="0.25">
      <c r="C598" s="31"/>
      <c r="I598" s="43"/>
      <c r="J598" s="43"/>
      <c r="K598" s="43"/>
      <c r="N598" s="31"/>
      <c r="O598" s="43"/>
    </row>
    <row r="599" spans="3:15" ht="12.5" x14ac:dyDescent="0.25">
      <c r="C599" s="31"/>
      <c r="I599" s="43"/>
      <c r="J599" s="43"/>
      <c r="K599" s="43"/>
      <c r="N599" s="31"/>
      <c r="O599" s="43"/>
    </row>
    <row r="600" spans="3:15" ht="12.5" x14ac:dyDescent="0.25">
      <c r="C600" s="31"/>
      <c r="I600" s="43"/>
      <c r="J600" s="43"/>
      <c r="K600" s="43"/>
      <c r="N600" s="31"/>
      <c r="O600" s="43"/>
    </row>
    <row r="601" spans="3:15" ht="12.5" x14ac:dyDescent="0.25">
      <c r="C601" s="31"/>
      <c r="I601" s="43"/>
      <c r="J601" s="43"/>
      <c r="K601" s="43"/>
      <c r="N601" s="31"/>
      <c r="O601" s="43"/>
    </row>
    <row r="602" spans="3:15" ht="12.5" x14ac:dyDescent="0.25">
      <c r="C602" s="31"/>
      <c r="I602" s="43"/>
      <c r="J602" s="43"/>
      <c r="K602" s="43"/>
      <c r="N602" s="31"/>
      <c r="O602" s="43"/>
    </row>
    <row r="603" spans="3:15" ht="12.5" x14ac:dyDescent="0.25">
      <c r="C603" s="31"/>
      <c r="I603" s="43"/>
      <c r="J603" s="43"/>
      <c r="K603" s="43"/>
      <c r="N603" s="31"/>
      <c r="O603" s="43"/>
    </row>
    <row r="604" spans="3:15" ht="12.5" x14ac:dyDescent="0.25">
      <c r="C604" s="31"/>
      <c r="I604" s="43"/>
      <c r="J604" s="43"/>
      <c r="K604" s="43"/>
      <c r="N604" s="31"/>
      <c r="O604" s="43"/>
    </row>
    <row r="605" spans="3:15" ht="12.5" x14ac:dyDescent="0.25">
      <c r="C605" s="31"/>
      <c r="I605" s="43"/>
      <c r="J605" s="43"/>
      <c r="K605" s="43"/>
      <c r="N605" s="31"/>
      <c r="O605" s="43"/>
    </row>
    <row r="606" spans="3:15" ht="12.5" x14ac:dyDescent="0.25">
      <c r="C606" s="31"/>
      <c r="I606" s="43"/>
      <c r="J606" s="43"/>
      <c r="K606" s="43"/>
      <c r="N606" s="31"/>
      <c r="O606" s="43"/>
    </row>
    <row r="607" spans="3:15" ht="12.5" x14ac:dyDescent="0.25">
      <c r="C607" s="31"/>
      <c r="I607" s="43"/>
      <c r="J607" s="43"/>
      <c r="K607" s="43"/>
      <c r="N607" s="31"/>
      <c r="O607" s="43"/>
    </row>
    <row r="608" spans="3:15" ht="12.5" x14ac:dyDescent="0.25">
      <c r="C608" s="31"/>
      <c r="I608" s="43"/>
      <c r="J608" s="43"/>
      <c r="K608" s="43"/>
      <c r="N608" s="31"/>
      <c r="O608" s="43"/>
    </row>
    <row r="609" spans="3:15" ht="12.5" x14ac:dyDescent="0.25">
      <c r="C609" s="31"/>
      <c r="I609" s="43"/>
      <c r="J609" s="43"/>
      <c r="K609" s="43"/>
      <c r="N609" s="31"/>
      <c r="O609" s="43"/>
    </row>
    <row r="610" spans="3:15" ht="12.5" x14ac:dyDescent="0.25">
      <c r="C610" s="31"/>
      <c r="I610" s="43"/>
      <c r="J610" s="43"/>
      <c r="K610" s="43"/>
      <c r="N610" s="31"/>
      <c r="O610" s="43"/>
    </row>
    <row r="611" spans="3:15" ht="12.5" x14ac:dyDescent="0.25">
      <c r="C611" s="31"/>
      <c r="I611" s="43"/>
      <c r="J611" s="43"/>
      <c r="K611" s="43"/>
      <c r="N611" s="31"/>
      <c r="O611" s="43"/>
    </row>
    <row r="612" spans="3:15" ht="12.5" x14ac:dyDescent="0.25">
      <c r="C612" s="31"/>
      <c r="I612" s="43"/>
      <c r="J612" s="43"/>
      <c r="K612" s="43"/>
      <c r="N612" s="31"/>
      <c r="O612" s="43"/>
    </row>
    <row r="613" spans="3:15" ht="12.5" x14ac:dyDescent="0.25">
      <c r="C613" s="31"/>
      <c r="I613" s="43"/>
      <c r="J613" s="43"/>
      <c r="K613" s="43"/>
      <c r="N613" s="31"/>
      <c r="O613" s="43"/>
    </row>
    <row r="614" spans="3:15" ht="12.5" x14ac:dyDescent="0.25">
      <c r="C614" s="31"/>
      <c r="I614" s="43"/>
      <c r="J614" s="43"/>
      <c r="K614" s="43"/>
      <c r="N614" s="31"/>
      <c r="O614" s="43"/>
    </row>
    <row r="615" spans="3:15" ht="12.5" x14ac:dyDescent="0.25">
      <c r="C615" s="31"/>
      <c r="I615" s="43"/>
      <c r="J615" s="43"/>
      <c r="K615" s="43"/>
      <c r="N615" s="31"/>
      <c r="O615" s="43"/>
    </row>
    <row r="616" spans="3:15" ht="12.5" x14ac:dyDescent="0.25">
      <c r="C616" s="31"/>
      <c r="I616" s="43"/>
      <c r="J616" s="43"/>
      <c r="K616" s="43"/>
      <c r="N616" s="31"/>
      <c r="O616" s="43"/>
    </row>
    <row r="617" spans="3:15" ht="12.5" x14ac:dyDescent="0.25">
      <c r="C617" s="31"/>
      <c r="I617" s="43"/>
      <c r="J617" s="43"/>
      <c r="K617" s="43"/>
      <c r="N617" s="31"/>
      <c r="O617" s="43"/>
    </row>
    <row r="618" spans="3:15" ht="12.5" x14ac:dyDescent="0.25">
      <c r="C618" s="31"/>
      <c r="I618" s="43"/>
      <c r="J618" s="43"/>
      <c r="K618" s="43"/>
      <c r="N618" s="31"/>
      <c r="O618" s="43"/>
    </row>
    <row r="619" spans="3:15" ht="12.5" x14ac:dyDescent="0.25">
      <c r="C619" s="31"/>
      <c r="I619" s="43"/>
      <c r="J619" s="43"/>
      <c r="K619" s="43"/>
      <c r="N619" s="31"/>
      <c r="O619" s="43"/>
    </row>
    <row r="620" spans="3:15" ht="12.5" x14ac:dyDescent="0.25">
      <c r="C620" s="31"/>
      <c r="I620" s="43"/>
      <c r="J620" s="43"/>
      <c r="K620" s="43"/>
      <c r="N620" s="31"/>
      <c r="O620" s="43"/>
    </row>
    <row r="621" spans="3:15" ht="12.5" x14ac:dyDescent="0.25">
      <c r="C621" s="31"/>
      <c r="I621" s="43"/>
      <c r="J621" s="43"/>
      <c r="K621" s="43"/>
      <c r="N621" s="31"/>
      <c r="O621" s="43"/>
    </row>
    <row r="622" spans="3:15" ht="12.5" x14ac:dyDescent="0.25">
      <c r="C622" s="31"/>
      <c r="I622" s="43"/>
      <c r="J622" s="43"/>
      <c r="K622" s="43"/>
      <c r="N622" s="31"/>
      <c r="O622" s="43"/>
    </row>
    <row r="623" spans="3:15" ht="12.5" x14ac:dyDescent="0.25">
      <c r="C623" s="31"/>
      <c r="I623" s="43"/>
      <c r="J623" s="43"/>
      <c r="K623" s="43"/>
      <c r="N623" s="31"/>
      <c r="O623" s="43"/>
    </row>
    <row r="624" spans="3:15" ht="12.5" x14ac:dyDescent="0.25">
      <c r="C624" s="31"/>
      <c r="I624" s="43"/>
      <c r="J624" s="43"/>
      <c r="K624" s="43"/>
      <c r="N624" s="31"/>
      <c r="O624" s="43"/>
    </row>
    <row r="625" spans="3:15" ht="12.5" x14ac:dyDescent="0.25">
      <c r="C625" s="31"/>
      <c r="I625" s="43"/>
      <c r="J625" s="43"/>
      <c r="K625" s="43"/>
      <c r="N625" s="31"/>
      <c r="O625" s="43"/>
    </row>
    <row r="626" spans="3:15" ht="12.5" x14ac:dyDescent="0.25">
      <c r="C626" s="31"/>
      <c r="I626" s="43"/>
      <c r="J626" s="43"/>
      <c r="K626" s="43"/>
      <c r="N626" s="31"/>
      <c r="O626" s="43"/>
    </row>
    <row r="627" spans="3:15" ht="12.5" x14ac:dyDescent="0.25">
      <c r="C627" s="31"/>
      <c r="I627" s="43"/>
      <c r="J627" s="43"/>
      <c r="K627" s="43"/>
      <c r="N627" s="31"/>
      <c r="O627" s="43"/>
    </row>
    <row r="628" spans="3:15" ht="12.5" x14ac:dyDescent="0.25">
      <c r="C628" s="31"/>
      <c r="I628" s="43"/>
      <c r="J628" s="43"/>
      <c r="K628" s="43"/>
      <c r="N628" s="31"/>
      <c r="O628" s="43"/>
    </row>
    <row r="629" spans="3:15" ht="12.5" x14ac:dyDescent="0.25">
      <c r="C629" s="31"/>
      <c r="I629" s="43"/>
      <c r="J629" s="43"/>
      <c r="K629" s="43"/>
      <c r="N629" s="31"/>
      <c r="O629" s="43"/>
    </row>
    <row r="630" spans="3:15" ht="12.5" x14ac:dyDescent="0.25">
      <c r="C630" s="31"/>
      <c r="I630" s="43"/>
      <c r="J630" s="43"/>
      <c r="K630" s="43"/>
      <c r="N630" s="31"/>
      <c r="O630" s="43"/>
    </row>
    <row r="631" spans="3:15" ht="12.5" x14ac:dyDescent="0.25">
      <c r="C631" s="31"/>
      <c r="I631" s="43"/>
      <c r="J631" s="43"/>
      <c r="K631" s="43"/>
      <c r="N631" s="31"/>
      <c r="O631" s="43"/>
    </row>
    <row r="632" spans="3:15" ht="12.5" x14ac:dyDescent="0.25">
      <c r="C632" s="31"/>
      <c r="I632" s="43"/>
      <c r="J632" s="43"/>
      <c r="K632" s="43"/>
      <c r="N632" s="31"/>
      <c r="O632" s="43"/>
    </row>
    <row r="633" spans="3:15" ht="12.5" x14ac:dyDescent="0.25">
      <c r="C633" s="31"/>
      <c r="I633" s="43"/>
      <c r="J633" s="43"/>
      <c r="K633" s="43"/>
      <c r="N633" s="31"/>
      <c r="O633" s="43"/>
    </row>
    <row r="634" spans="3:15" ht="12.5" x14ac:dyDescent="0.25">
      <c r="C634" s="31"/>
      <c r="I634" s="43"/>
      <c r="J634" s="43"/>
      <c r="K634" s="43"/>
      <c r="N634" s="31"/>
      <c r="O634" s="43"/>
    </row>
    <row r="635" spans="3:15" ht="12.5" x14ac:dyDescent="0.25">
      <c r="C635" s="31"/>
      <c r="I635" s="43"/>
      <c r="J635" s="43"/>
      <c r="K635" s="43"/>
      <c r="N635" s="31"/>
      <c r="O635" s="43"/>
    </row>
    <row r="636" spans="3:15" ht="12.5" x14ac:dyDescent="0.25">
      <c r="C636" s="31"/>
      <c r="I636" s="43"/>
      <c r="J636" s="43"/>
      <c r="K636" s="43"/>
      <c r="N636" s="31"/>
      <c r="O636" s="43"/>
    </row>
    <row r="637" spans="3:15" ht="12.5" x14ac:dyDescent="0.25">
      <c r="C637" s="31"/>
      <c r="I637" s="43"/>
      <c r="J637" s="43"/>
      <c r="K637" s="43"/>
      <c r="N637" s="31"/>
      <c r="O637" s="43"/>
    </row>
    <row r="638" spans="3:15" ht="12.5" x14ac:dyDescent="0.25">
      <c r="C638" s="31"/>
      <c r="I638" s="43"/>
      <c r="J638" s="43"/>
      <c r="K638" s="43"/>
      <c r="N638" s="31"/>
      <c r="O638" s="43"/>
    </row>
    <row r="639" spans="3:15" ht="12.5" x14ac:dyDescent="0.25">
      <c r="C639" s="31"/>
      <c r="I639" s="43"/>
      <c r="J639" s="43"/>
      <c r="K639" s="43"/>
      <c r="N639" s="31"/>
      <c r="O639" s="43"/>
    </row>
    <row r="640" spans="3:15" ht="12.5" x14ac:dyDescent="0.25">
      <c r="C640" s="31"/>
      <c r="I640" s="43"/>
      <c r="J640" s="43"/>
      <c r="K640" s="43"/>
      <c r="N640" s="31"/>
      <c r="O640" s="43"/>
    </row>
    <row r="641" spans="3:15" ht="12.5" x14ac:dyDescent="0.25">
      <c r="C641" s="31"/>
      <c r="I641" s="43"/>
      <c r="J641" s="43"/>
      <c r="K641" s="43"/>
      <c r="N641" s="31"/>
      <c r="O641" s="43"/>
    </row>
    <row r="642" spans="3:15" ht="12.5" x14ac:dyDescent="0.25">
      <c r="C642" s="31"/>
      <c r="I642" s="43"/>
      <c r="J642" s="43"/>
      <c r="K642" s="43"/>
      <c r="N642" s="31"/>
      <c r="O642" s="43"/>
    </row>
    <row r="643" spans="3:15" ht="12.5" x14ac:dyDescent="0.25">
      <c r="C643" s="31"/>
      <c r="I643" s="43"/>
      <c r="J643" s="43"/>
      <c r="K643" s="43"/>
      <c r="N643" s="31"/>
      <c r="O643" s="43"/>
    </row>
    <row r="644" spans="3:15" ht="12.5" x14ac:dyDescent="0.25">
      <c r="C644" s="31"/>
      <c r="I644" s="43"/>
      <c r="J644" s="43"/>
      <c r="K644" s="43"/>
      <c r="N644" s="31"/>
      <c r="O644" s="43"/>
    </row>
    <row r="645" spans="3:15" ht="12.5" x14ac:dyDescent="0.25">
      <c r="C645" s="31"/>
      <c r="I645" s="43"/>
      <c r="J645" s="43"/>
      <c r="K645" s="43"/>
      <c r="N645" s="31"/>
      <c r="O645" s="43"/>
    </row>
    <row r="646" spans="3:15" ht="12.5" x14ac:dyDescent="0.25">
      <c r="C646" s="31"/>
      <c r="I646" s="43"/>
      <c r="J646" s="43"/>
      <c r="K646" s="43"/>
      <c r="N646" s="31"/>
      <c r="O646" s="43"/>
    </row>
    <row r="647" spans="3:15" ht="12.5" x14ac:dyDescent="0.25">
      <c r="C647" s="31"/>
      <c r="I647" s="43"/>
      <c r="J647" s="43"/>
      <c r="K647" s="43"/>
      <c r="N647" s="31"/>
      <c r="O647" s="43"/>
    </row>
    <row r="648" spans="3:15" ht="12.5" x14ac:dyDescent="0.25">
      <c r="C648" s="31"/>
      <c r="I648" s="43"/>
      <c r="J648" s="43"/>
      <c r="K648" s="43"/>
      <c r="N648" s="31"/>
      <c r="O648" s="43"/>
    </row>
    <row r="649" spans="3:15" ht="12.5" x14ac:dyDescent="0.25">
      <c r="C649" s="31"/>
      <c r="I649" s="43"/>
      <c r="J649" s="43"/>
      <c r="K649" s="43"/>
      <c r="N649" s="31"/>
      <c r="O649" s="43"/>
    </row>
    <row r="650" spans="3:15" ht="12.5" x14ac:dyDescent="0.25">
      <c r="C650" s="31"/>
      <c r="I650" s="43"/>
      <c r="J650" s="43"/>
      <c r="K650" s="43"/>
      <c r="N650" s="31"/>
      <c r="O650" s="43"/>
    </row>
    <row r="651" spans="3:15" ht="12.5" x14ac:dyDescent="0.25">
      <c r="C651" s="31"/>
      <c r="I651" s="43"/>
      <c r="J651" s="43"/>
      <c r="K651" s="43"/>
      <c r="N651" s="31"/>
      <c r="O651" s="43"/>
    </row>
    <row r="652" spans="3:15" ht="12.5" x14ac:dyDescent="0.25">
      <c r="C652" s="31"/>
      <c r="I652" s="43"/>
      <c r="J652" s="43"/>
      <c r="K652" s="43"/>
      <c r="N652" s="31"/>
      <c r="O652" s="43"/>
    </row>
    <row r="653" spans="3:15" ht="12.5" x14ac:dyDescent="0.25">
      <c r="C653" s="31"/>
      <c r="I653" s="43"/>
      <c r="J653" s="43"/>
      <c r="K653" s="43"/>
      <c r="N653" s="31"/>
      <c r="O653" s="43"/>
    </row>
    <row r="654" spans="3:15" ht="12.5" x14ac:dyDescent="0.25">
      <c r="C654" s="31"/>
      <c r="I654" s="43"/>
      <c r="J654" s="43"/>
      <c r="K654" s="43"/>
      <c r="N654" s="31"/>
      <c r="O654" s="43"/>
    </row>
    <row r="655" spans="3:15" ht="12.5" x14ac:dyDescent="0.25">
      <c r="C655" s="31"/>
      <c r="I655" s="43"/>
      <c r="J655" s="43"/>
      <c r="K655" s="43"/>
      <c r="N655" s="31"/>
      <c r="O655" s="43"/>
    </row>
    <row r="656" spans="3:15" ht="12.5" x14ac:dyDescent="0.25">
      <c r="C656" s="31"/>
      <c r="I656" s="43"/>
      <c r="J656" s="43"/>
      <c r="K656" s="43"/>
      <c r="N656" s="31"/>
      <c r="O656" s="43"/>
    </row>
    <row r="657" spans="3:15" ht="12.5" x14ac:dyDescent="0.25">
      <c r="C657" s="31"/>
      <c r="I657" s="43"/>
      <c r="J657" s="43"/>
      <c r="K657" s="43"/>
      <c r="N657" s="31"/>
      <c r="O657" s="43"/>
    </row>
    <row r="658" spans="3:15" ht="12.5" x14ac:dyDescent="0.25">
      <c r="C658" s="31"/>
      <c r="I658" s="43"/>
      <c r="J658" s="43"/>
      <c r="K658" s="43"/>
      <c r="N658" s="31"/>
      <c r="O658" s="43"/>
    </row>
    <row r="659" spans="3:15" ht="12.5" x14ac:dyDescent="0.25">
      <c r="C659" s="31"/>
      <c r="I659" s="43"/>
      <c r="J659" s="43"/>
      <c r="K659" s="43"/>
      <c r="N659" s="31"/>
      <c r="O659" s="43"/>
    </row>
    <row r="660" spans="3:15" ht="12.5" x14ac:dyDescent="0.25">
      <c r="C660" s="31"/>
      <c r="I660" s="43"/>
      <c r="J660" s="43"/>
      <c r="K660" s="43"/>
      <c r="N660" s="31"/>
      <c r="O660" s="43"/>
    </row>
    <row r="661" spans="3:15" ht="12.5" x14ac:dyDescent="0.25">
      <c r="C661" s="31"/>
      <c r="I661" s="43"/>
      <c r="J661" s="43"/>
      <c r="K661" s="43"/>
      <c r="N661" s="31"/>
      <c r="O661" s="43"/>
    </row>
    <row r="662" spans="3:15" ht="12.5" x14ac:dyDescent="0.25">
      <c r="C662" s="31"/>
      <c r="I662" s="43"/>
      <c r="J662" s="43"/>
      <c r="K662" s="43"/>
      <c r="N662" s="31"/>
      <c r="O662" s="43"/>
    </row>
    <row r="663" spans="3:15" ht="12.5" x14ac:dyDescent="0.25">
      <c r="C663" s="31"/>
      <c r="I663" s="43"/>
      <c r="J663" s="43"/>
      <c r="K663" s="43"/>
      <c r="N663" s="31"/>
      <c r="O663" s="43"/>
    </row>
    <row r="664" spans="3:15" ht="12.5" x14ac:dyDescent="0.25">
      <c r="C664" s="31"/>
      <c r="I664" s="43"/>
      <c r="J664" s="43"/>
      <c r="K664" s="43"/>
      <c r="N664" s="31"/>
      <c r="O664" s="43"/>
    </row>
    <row r="665" spans="3:15" ht="12.5" x14ac:dyDescent="0.25">
      <c r="C665" s="31"/>
      <c r="I665" s="43"/>
      <c r="J665" s="43"/>
      <c r="K665" s="43"/>
      <c r="N665" s="31"/>
      <c r="O665" s="43"/>
    </row>
    <row r="666" spans="3:15" ht="12.5" x14ac:dyDescent="0.25">
      <c r="C666" s="31"/>
      <c r="I666" s="43"/>
      <c r="J666" s="43"/>
      <c r="K666" s="43"/>
      <c r="N666" s="31"/>
      <c r="O666" s="43"/>
    </row>
    <row r="667" spans="3:15" ht="12.5" x14ac:dyDescent="0.25">
      <c r="C667" s="31"/>
      <c r="I667" s="43"/>
      <c r="J667" s="43"/>
      <c r="K667" s="43"/>
      <c r="N667" s="31"/>
      <c r="O667" s="43"/>
    </row>
    <row r="668" spans="3:15" ht="12.5" x14ac:dyDescent="0.25">
      <c r="C668" s="31"/>
      <c r="I668" s="43"/>
      <c r="J668" s="43"/>
      <c r="K668" s="43"/>
      <c r="N668" s="31"/>
      <c r="O668" s="43"/>
    </row>
    <row r="669" spans="3:15" ht="12.5" x14ac:dyDescent="0.25">
      <c r="C669" s="31"/>
      <c r="I669" s="43"/>
      <c r="J669" s="43"/>
      <c r="K669" s="43"/>
      <c r="N669" s="31"/>
      <c r="O669" s="43"/>
    </row>
    <row r="670" spans="3:15" ht="12.5" x14ac:dyDescent="0.25">
      <c r="C670" s="31"/>
      <c r="I670" s="43"/>
      <c r="J670" s="43"/>
      <c r="K670" s="43"/>
      <c r="N670" s="31"/>
      <c r="O670" s="43"/>
    </row>
    <row r="671" spans="3:15" ht="12.5" x14ac:dyDescent="0.25">
      <c r="C671" s="31"/>
      <c r="I671" s="43"/>
      <c r="J671" s="43"/>
      <c r="K671" s="43"/>
      <c r="N671" s="31"/>
      <c r="O671" s="43"/>
    </row>
    <row r="672" spans="3:15" ht="12.5" x14ac:dyDescent="0.25">
      <c r="C672" s="31"/>
      <c r="I672" s="43"/>
      <c r="J672" s="43"/>
      <c r="K672" s="43"/>
      <c r="N672" s="31"/>
      <c r="O672" s="43"/>
    </row>
    <row r="673" spans="3:15" ht="12.5" x14ac:dyDescent="0.25">
      <c r="C673" s="31"/>
      <c r="I673" s="43"/>
      <c r="J673" s="43"/>
      <c r="K673" s="43"/>
      <c r="N673" s="31"/>
      <c r="O673" s="43"/>
    </row>
    <row r="674" spans="3:15" ht="12.5" x14ac:dyDescent="0.25">
      <c r="C674" s="31"/>
      <c r="I674" s="43"/>
      <c r="J674" s="43"/>
      <c r="K674" s="43"/>
      <c r="N674" s="31"/>
      <c r="O674" s="43"/>
    </row>
    <row r="675" spans="3:15" ht="12.5" x14ac:dyDescent="0.25">
      <c r="C675" s="31"/>
      <c r="I675" s="43"/>
      <c r="J675" s="43"/>
      <c r="K675" s="43"/>
      <c r="N675" s="31"/>
      <c r="O675" s="43"/>
    </row>
    <row r="676" spans="3:15" ht="12.5" x14ac:dyDescent="0.25">
      <c r="C676" s="31"/>
      <c r="I676" s="43"/>
      <c r="J676" s="43"/>
      <c r="K676" s="43"/>
      <c r="N676" s="31"/>
      <c r="O676" s="43"/>
    </row>
    <row r="677" spans="3:15" ht="12.5" x14ac:dyDescent="0.25">
      <c r="C677" s="31"/>
      <c r="I677" s="43"/>
      <c r="J677" s="43"/>
      <c r="K677" s="43"/>
      <c r="N677" s="31"/>
      <c r="O677" s="43"/>
    </row>
    <row r="678" spans="3:15" ht="12.5" x14ac:dyDescent="0.25">
      <c r="C678" s="31"/>
      <c r="I678" s="43"/>
      <c r="J678" s="43"/>
      <c r="K678" s="43"/>
      <c r="N678" s="31"/>
      <c r="O678" s="43"/>
    </row>
    <row r="679" spans="3:15" ht="12.5" x14ac:dyDescent="0.25">
      <c r="C679" s="31"/>
      <c r="I679" s="43"/>
      <c r="J679" s="43"/>
      <c r="K679" s="43"/>
      <c r="N679" s="31"/>
      <c r="O679" s="43"/>
    </row>
    <row r="680" spans="3:15" ht="12.5" x14ac:dyDescent="0.25">
      <c r="C680" s="31"/>
      <c r="I680" s="43"/>
      <c r="J680" s="43"/>
      <c r="K680" s="43"/>
      <c r="N680" s="31"/>
      <c r="O680" s="43"/>
    </row>
    <row r="681" spans="3:15" ht="12.5" x14ac:dyDescent="0.25">
      <c r="C681" s="31"/>
      <c r="I681" s="43"/>
      <c r="J681" s="43"/>
      <c r="K681" s="43"/>
      <c r="N681" s="31"/>
      <c r="O681" s="43"/>
    </row>
    <row r="682" spans="3:15" ht="12.5" x14ac:dyDescent="0.25">
      <c r="C682" s="31"/>
      <c r="I682" s="43"/>
      <c r="J682" s="43"/>
      <c r="K682" s="43"/>
      <c r="N682" s="31"/>
      <c r="O682" s="43"/>
    </row>
    <row r="683" spans="3:15" ht="12.5" x14ac:dyDescent="0.25">
      <c r="C683" s="31"/>
      <c r="I683" s="43"/>
      <c r="J683" s="43"/>
      <c r="K683" s="43"/>
      <c r="N683" s="31"/>
      <c r="O683" s="43"/>
    </row>
    <row r="684" spans="3:15" ht="12.5" x14ac:dyDescent="0.25">
      <c r="C684" s="31"/>
      <c r="I684" s="43"/>
      <c r="J684" s="43"/>
      <c r="K684" s="43"/>
      <c r="N684" s="31"/>
      <c r="O684" s="43"/>
    </row>
    <row r="685" spans="3:15" ht="12.5" x14ac:dyDescent="0.25">
      <c r="C685" s="31"/>
      <c r="I685" s="43"/>
      <c r="J685" s="43"/>
      <c r="K685" s="43"/>
      <c r="N685" s="31"/>
      <c r="O685" s="43"/>
    </row>
    <row r="686" spans="3:15" ht="12.5" x14ac:dyDescent="0.25">
      <c r="C686" s="31"/>
      <c r="I686" s="43"/>
      <c r="J686" s="43"/>
      <c r="K686" s="43"/>
      <c r="N686" s="31"/>
      <c r="O686" s="43"/>
    </row>
    <row r="687" spans="3:15" ht="12.5" x14ac:dyDescent="0.25">
      <c r="C687" s="31"/>
      <c r="I687" s="43"/>
      <c r="J687" s="43"/>
      <c r="K687" s="43"/>
      <c r="N687" s="31"/>
      <c r="O687" s="43"/>
    </row>
    <row r="688" spans="3:15" ht="12.5" x14ac:dyDescent="0.25">
      <c r="C688" s="31"/>
      <c r="I688" s="43"/>
      <c r="J688" s="43"/>
      <c r="K688" s="43"/>
      <c r="N688" s="31"/>
      <c r="O688" s="43"/>
    </row>
    <row r="689" spans="3:15" ht="12.5" x14ac:dyDescent="0.25">
      <c r="C689" s="31"/>
      <c r="I689" s="43"/>
      <c r="J689" s="43"/>
      <c r="K689" s="43"/>
      <c r="N689" s="31"/>
      <c r="O689" s="43"/>
    </row>
    <row r="690" spans="3:15" ht="12.5" x14ac:dyDescent="0.25">
      <c r="C690" s="31"/>
      <c r="I690" s="43"/>
      <c r="J690" s="43"/>
      <c r="K690" s="43"/>
      <c r="N690" s="31"/>
      <c r="O690" s="43"/>
    </row>
    <row r="691" spans="3:15" ht="12.5" x14ac:dyDescent="0.25">
      <c r="C691" s="31"/>
      <c r="I691" s="43"/>
      <c r="J691" s="43"/>
      <c r="K691" s="43"/>
      <c r="N691" s="31"/>
      <c r="O691" s="43"/>
    </row>
    <row r="692" spans="3:15" ht="12.5" x14ac:dyDescent="0.25">
      <c r="C692" s="31"/>
      <c r="I692" s="43"/>
      <c r="J692" s="43"/>
      <c r="K692" s="43"/>
      <c r="N692" s="31"/>
      <c r="O692" s="43"/>
    </row>
    <row r="693" spans="3:15" ht="12.5" x14ac:dyDescent="0.25">
      <c r="C693" s="31"/>
      <c r="I693" s="43"/>
      <c r="J693" s="43"/>
      <c r="K693" s="43"/>
      <c r="N693" s="31"/>
      <c r="O693" s="43"/>
    </row>
    <row r="694" spans="3:15" ht="12.5" x14ac:dyDescent="0.25">
      <c r="C694" s="31"/>
      <c r="I694" s="43"/>
      <c r="J694" s="43"/>
      <c r="K694" s="43"/>
      <c r="N694" s="31"/>
      <c r="O694" s="43"/>
    </row>
    <row r="695" spans="3:15" ht="12.5" x14ac:dyDescent="0.25">
      <c r="C695" s="31"/>
      <c r="I695" s="43"/>
      <c r="J695" s="43"/>
      <c r="K695" s="43"/>
      <c r="N695" s="31"/>
      <c r="O695" s="43"/>
    </row>
    <row r="696" spans="3:15" ht="12.5" x14ac:dyDescent="0.25">
      <c r="C696" s="31"/>
      <c r="I696" s="43"/>
      <c r="J696" s="43"/>
      <c r="K696" s="43"/>
      <c r="N696" s="31"/>
      <c r="O696" s="43"/>
    </row>
    <row r="697" spans="3:15" ht="12.5" x14ac:dyDescent="0.25">
      <c r="C697" s="31"/>
      <c r="I697" s="43"/>
      <c r="J697" s="43"/>
      <c r="K697" s="43"/>
      <c r="N697" s="31"/>
      <c r="O697" s="43"/>
    </row>
    <row r="698" spans="3:15" ht="12.5" x14ac:dyDescent="0.25">
      <c r="C698" s="31"/>
      <c r="I698" s="43"/>
      <c r="J698" s="43"/>
      <c r="K698" s="43"/>
      <c r="N698" s="31"/>
      <c r="O698" s="43"/>
    </row>
    <row r="699" spans="3:15" ht="12.5" x14ac:dyDescent="0.25">
      <c r="C699" s="31"/>
      <c r="I699" s="43"/>
      <c r="J699" s="43"/>
      <c r="K699" s="43"/>
      <c r="N699" s="31"/>
      <c r="O699" s="43"/>
    </row>
    <row r="700" spans="3:15" ht="12.5" x14ac:dyDescent="0.25">
      <c r="C700" s="31"/>
      <c r="I700" s="43"/>
      <c r="J700" s="43"/>
      <c r="K700" s="43"/>
      <c r="N700" s="31"/>
      <c r="O700" s="43"/>
    </row>
    <row r="701" spans="3:15" ht="12.5" x14ac:dyDescent="0.25">
      <c r="C701" s="31"/>
      <c r="I701" s="43"/>
      <c r="J701" s="43"/>
      <c r="K701" s="43"/>
      <c r="N701" s="31"/>
      <c r="O701" s="43"/>
    </row>
    <row r="702" spans="3:15" ht="12.5" x14ac:dyDescent="0.25">
      <c r="C702" s="31"/>
      <c r="I702" s="43"/>
      <c r="J702" s="43"/>
      <c r="K702" s="43"/>
      <c r="N702" s="31"/>
      <c r="O702" s="43"/>
    </row>
    <row r="703" spans="3:15" ht="12.5" x14ac:dyDescent="0.25">
      <c r="C703" s="31"/>
      <c r="I703" s="43"/>
      <c r="J703" s="43"/>
      <c r="K703" s="43"/>
      <c r="N703" s="31"/>
      <c r="O703" s="43"/>
    </row>
    <row r="704" spans="3:15" ht="12.5" x14ac:dyDescent="0.25">
      <c r="C704" s="31"/>
      <c r="I704" s="43"/>
      <c r="J704" s="43"/>
      <c r="K704" s="43"/>
      <c r="N704" s="31"/>
      <c r="O704" s="43"/>
    </row>
    <row r="705" spans="3:15" ht="12.5" x14ac:dyDescent="0.25">
      <c r="C705" s="31"/>
      <c r="I705" s="43"/>
      <c r="J705" s="43"/>
      <c r="K705" s="43"/>
      <c r="N705" s="31"/>
      <c r="O705" s="43"/>
    </row>
    <row r="706" spans="3:15" ht="12.5" x14ac:dyDescent="0.25">
      <c r="C706" s="31"/>
      <c r="I706" s="43"/>
      <c r="J706" s="43"/>
      <c r="K706" s="43"/>
      <c r="N706" s="31"/>
      <c r="O706" s="43"/>
    </row>
    <row r="707" spans="3:15" ht="12.5" x14ac:dyDescent="0.25">
      <c r="C707" s="31"/>
      <c r="I707" s="43"/>
      <c r="J707" s="43"/>
      <c r="K707" s="43"/>
      <c r="N707" s="31"/>
      <c r="O707" s="43"/>
    </row>
    <row r="708" spans="3:15" ht="12.5" x14ac:dyDescent="0.25">
      <c r="C708" s="31"/>
      <c r="I708" s="43"/>
      <c r="J708" s="43"/>
      <c r="K708" s="43"/>
      <c r="N708" s="31"/>
      <c r="O708" s="43"/>
    </row>
    <row r="709" spans="3:15" ht="12.5" x14ac:dyDescent="0.25">
      <c r="C709" s="31"/>
      <c r="I709" s="43"/>
      <c r="J709" s="43"/>
      <c r="K709" s="43"/>
      <c r="N709" s="31"/>
      <c r="O709" s="43"/>
    </row>
    <row r="710" spans="3:15" ht="12.5" x14ac:dyDescent="0.25">
      <c r="C710" s="31"/>
      <c r="I710" s="43"/>
      <c r="J710" s="43"/>
      <c r="K710" s="43"/>
      <c r="N710" s="31"/>
      <c r="O710" s="43"/>
    </row>
    <row r="711" spans="3:15" ht="12.5" x14ac:dyDescent="0.25">
      <c r="C711" s="31"/>
      <c r="I711" s="43"/>
      <c r="J711" s="43"/>
      <c r="K711" s="43"/>
      <c r="N711" s="31"/>
      <c r="O711" s="43"/>
    </row>
    <row r="712" spans="3:15" ht="12.5" x14ac:dyDescent="0.25">
      <c r="C712" s="31"/>
      <c r="I712" s="43"/>
      <c r="J712" s="43"/>
      <c r="K712" s="43"/>
      <c r="N712" s="31"/>
      <c r="O712" s="43"/>
    </row>
    <row r="713" spans="3:15" ht="12.5" x14ac:dyDescent="0.25">
      <c r="C713" s="31"/>
      <c r="I713" s="43"/>
      <c r="J713" s="43"/>
      <c r="K713" s="43"/>
      <c r="N713" s="31"/>
      <c r="O713" s="43"/>
    </row>
    <row r="714" spans="3:15" ht="12.5" x14ac:dyDescent="0.25">
      <c r="C714" s="31"/>
      <c r="I714" s="43"/>
      <c r="J714" s="43"/>
      <c r="K714" s="43"/>
      <c r="N714" s="31"/>
      <c r="O714" s="43"/>
    </row>
    <row r="715" spans="3:15" ht="12.5" x14ac:dyDescent="0.25">
      <c r="C715" s="31"/>
      <c r="I715" s="43"/>
      <c r="J715" s="43"/>
      <c r="K715" s="43"/>
      <c r="N715" s="31"/>
      <c r="O715" s="43"/>
    </row>
    <row r="716" spans="3:15" ht="12.5" x14ac:dyDescent="0.25">
      <c r="C716" s="31"/>
      <c r="I716" s="43"/>
      <c r="J716" s="43"/>
      <c r="K716" s="43"/>
      <c r="N716" s="31"/>
      <c r="O716" s="43"/>
    </row>
    <row r="717" spans="3:15" ht="12.5" x14ac:dyDescent="0.25">
      <c r="C717" s="31"/>
      <c r="I717" s="43"/>
      <c r="J717" s="43"/>
      <c r="K717" s="43"/>
      <c r="N717" s="31"/>
      <c r="O717" s="43"/>
    </row>
    <row r="718" spans="3:15" ht="12.5" x14ac:dyDescent="0.25">
      <c r="C718" s="31"/>
      <c r="I718" s="43"/>
      <c r="J718" s="43"/>
      <c r="K718" s="43"/>
      <c r="N718" s="31"/>
      <c r="O718" s="43"/>
    </row>
    <row r="719" spans="3:15" ht="12.5" x14ac:dyDescent="0.25">
      <c r="C719" s="31"/>
      <c r="I719" s="43"/>
      <c r="J719" s="43"/>
      <c r="K719" s="43"/>
      <c r="N719" s="31"/>
      <c r="O719" s="43"/>
    </row>
    <row r="720" spans="3:15" ht="12.5" x14ac:dyDescent="0.25">
      <c r="C720" s="31"/>
      <c r="I720" s="43"/>
      <c r="J720" s="43"/>
      <c r="K720" s="43"/>
      <c r="N720" s="31"/>
      <c r="O720" s="43"/>
    </row>
    <row r="721" spans="3:15" ht="12.5" x14ac:dyDescent="0.25">
      <c r="C721" s="31"/>
      <c r="I721" s="43"/>
      <c r="J721" s="43"/>
      <c r="K721" s="43"/>
      <c r="N721" s="31"/>
      <c r="O721" s="43"/>
    </row>
    <row r="722" spans="3:15" ht="12.5" x14ac:dyDescent="0.25">
      <c r="C722" s="31"/>
      <c r="I722" s="43"/>
      <c r="J722" s="43"/>
      <c r="K722" s="43"/>
      <c r="N722" s="31"/>
      <c r="O722" s="43"/>
    </row>
    <row r="723" spans="3:15" ht="12.5" x14ac:dyDescent="0.25">
      <c r="C723" s="31"/>
      <c r="I723" s="43"/>
      <c r="J723" s="43"/>
      <c r="K723" s="43"/>
      <c r="N723" s="31"/>
      <c r="O723" s="43"/>
    </row>
    <row r="724" spans="3:15" ht="12.5" x14ac:dyDescent="0.25">
      <c r="C724" s="31"/>
      <c r="I724" s="43"/>
      <c r="J724" s="43"/>
      <c r="K724" s="43"/>
      <c r="N724" s="31"/>
      <c r="O724" s="43"/>
    </row>
    <row r="725" spans="3:15" ht="12.5" x14ac:dyDescent="0.25">
      <c r="C725" s="31"/>
      <c r="I725" s="43"/>
      <c r="J725" s="43"/>
      <c r="K725" s="43"/>
      <c r="N725" s="31"/>
      <c r="O725" s="43"/>
    </row>
    <row r="726" spans="3:15" ht="12.5" x14ac:dyDescent="0.25">
      <c r="C726" s="31"/>
      <c r="I726" s="43"/>
      <c r="J726" s="43"/>
      <c r="K726" s="43"/>
      <c r="N726" s="31"/>
      <c r="O726" s="43"/>
    </row>
    <row r="727" spans="3:15" ht="12.5" x14ac:dyDescent="0.25">
      <c r="C727" s="31"/>
      <c r="I727" s="43"/>
      <c r="J727" s="43"/>
      <c r="K727" s="43"/>
      <c r="N727" s="31"/>
      <c r="O727" s="43"/>
    </row>
    <row r="728" spans="3:15" ht="12.5" x14ac:dyDescent="0.25">
      <c r="C728" s="31"/>
      <c r="I728" s="43"/>
      <c r="J728" s="43"/>
      <c r="K728" s="43"/>
      <c r="N728" s="31"/>
      <c r="O728" s="43"/>
    </row>
    <row r="729" spans="3:15" ht="12.5" x14ac:dyDescent="0.25">
      <c r="C729" s="31"/>
      <c r="I729" s="43"/>
      <c r="J729" s="43"/>
      <c r="K729" s="43"/>
      <c r="N729" s="31"/>
      <c r="O729" s="43"/>
    </row>
    <row r="730" spans="3:15" ht="12.5" x14ac:dyDescent="0.25">
      <c r="C730" s="31"/>
      <c r="I730" s="43"/>
      <c r="J730" s="43"/>
      <c r="K730" s="43"/>
      <c r="N730" s="31"/>
      <c r="O730" s="43"/>
    </row>
    <row r="731" spans="3:15" ht="12.5" x14ac:dyDescent="0.25">
      <c r="C731" s="31"/>
      <c r="I731" s="43"/>
      <c r="J731" s="43"/>
      <c r="K731" s="43"/>
      <c r="N731" s="31"/>
      <c r="O731" s="43"/>
    </row>
    <row r="732" spans="3:15" ht="12.5" x14ac:dyDescent="0.25">
      <c r="C732" s="31"/>
      <c r="I732" s="43"/>
      <c r="J732" s="43"/>
      <c r="K732" s="43"/>
      <c r="N732" s="31"/>
      <c r="O732" s="43"/>
    </row>
    <row r="733" spans="3:15" ht="12.5" x14ac:dyDescent="0.25">
      <c r="C733" s="31"/>
      <c r="I733" s="43"/>
      <c r="J733" s="43"/>
      <c r="K733" s="43"/>
      <c r="N733" s="31"/>
      <c r="O733" s="43"/>
    </row>
    <row r="734" spans="3:15" ht="12.5" x14ac:dyDescent="0.25">
      <c r="C734" s="31"/>
      <c r="I734" s="43"/>
      <c r="J734" s="43"/>
      <c r="K734" s="43"/>
      <c r="N734" s="31"/>
      <c r="O734" s="43"/>
    </row>
    <row r="735" spans="3:15" ht="12.5" x14ac:dyDescent="0.25">
      <c r="C735" s="31"/>
      <c r="I735" s="43"/>
      <c r="J735" s="43"/>
      <c r="K735" s="43"/>
      <c r="N735" s="31"/>
      <c r="O735" s="43"/>
    </row>
    <row r="736" spans="3:15" ht="12.5" x14ac:dyDescent="0.25">
      <c r="C736" s="31"/>
      <c r="I736" s="43"/>
      <c r="J736" s="43"/>
      <c r="K736" s="43"/>
      <c r="N736" s="31"/>
      <c r="O736" s="43"/>
    </row>
    <row r="737" spans="3:15" ht="12.5" x14ac:dyDescent="0.25">
      <c r="C737" s="31"/>
      <c r="I737" s="43"/>
      <c r="J737" s="43"/>
      <c r="K737" s="43"/>
      <c r="N737" s="31"/>
      <c r="O737" s="43"/>
    </row>
    <row r="738" spans="3:15" ht="12.5" x14ac:dyDescent="0.25">
      <c r="C738" s="31"/>
      <c r="I738" s="43"/>
      <c r="J738" s="43"/>
      <c r="K738" s="43"/>
      <c r="N738" s="31"/>
      <c r="O738" s="43"/>
    </row>
    <row r="739" spans="3:15" ht="12.5" x14ac:dyDescent="0.25">
      <c r="C739" s="31"/>
      <c r="I739" s="43"/>
      <c r="J739" s="43"/>
      <c r="K739" s="43"/>
      <c r="N739" s="31"/>
      <c r="O739" s="43"/>
    </row>
    <row r="740" spans="3:15" ht="12.5" x14ac:dyDescent="0.25">
      <c r="C740" s="31"/>
      <c r="I740" s="43"/>
      <c r="J740" s="43"/>
      <c r="K740" s="43"/>
      <c r="N740" s="31"/>
      <c r="O740" s="43"/>
    </row>
    <row r="741" spans="3:15" ht="12.5" x14ac:dyDescent="0.25">
      <c r="C741" s="31"/>
      <c r="I741" s="43"/>
      <c r="J741" s="43"/>
      <c r="K741" s="43"/>
      <c r="N741" s="31"/>
      <c r="O741" s="43"/>
    </row>
    <row r="742" spans="3:15" ht="12.5" x14ac:dyDescent="0.25">
      <c r="C742" s="31"/>
      <c r="I742" s="43"/>
      <c r="J742" s="43"/>
      <c r="K742" s="43"/>
      <c r="N742" s="31"/>
      <c r="O742" s="43"/>
    </row>
    <row r="743" spans="3:15" ht="12.5" x14ac:dyDescent="0.25">
      <c r="C743" s="31"/>
      <c r="I743" s="43"/>
      <c r="J743" s="43"/>
      <c r="K743" s="43"/>
      <c r="N743" s="31"/>
      <c r="O743" s="43"/>
    </row>
    <row r="744" spans="3:15" ht="12.5" x14ac:dyDescent="0.25">
      <c r="C744" s="31"/>
      <c r="I744" s="43"/>
      <c r="J744" s="43"/>
      <c r="K744" s="43"/>
      <c r="N744" s="31"/>
      <c r="O744" s="43"/>
    </row>
    <row r="745" spans="3:15" ht="12.5" x14ac:dyDescent="0.25">
      <c r="C745" s="31"/>
      <c r="I745" s="43"/>
      <c r="J745" s="43"/>
      <c r="K745" s="43"/>
      <c r="N745" s="31"/>
      <c r="O745" s="43"/>
    </row>
    <row r="746" spans="3:15" ht="12.5" x14ac:dyDescent="0.25">
      <c r="C746" s="31"/>
      <c r="I746" s="43"/>
      <c r="J746" s="43"/>
      <c r="K746" s="43"/>
      <c r="N746" s="31"/>
      <c r="O746" s="43"/>
    </row>
    <row r="747" spans="3:15" ht="12.5" x14ac:dyDescent="0.25">
      <c r="C747" s="31"/>
      <c r="I747" s="43"/>
      <c r="J747" s="43"/>
      <c r="K747" s="43"/>
      <c r="N747" s="31"/>
      <c r="O747" s="43"/>
    </row>
    <row r="748" spans="3:15" ht="12.5" x14ac:dyDescent="0.25">
      <c r="C748" s="31"/>
      <c r="I748" s="43"/>
      <c r="J748" s="43"/>
      <c r="K748" s="43"/>
      <c r="N748" s="31"/>
      <c r="O748" s="43"/>
    </row>
    <row r="749" spans="3:15" ht="12.5" x14ac:dyDescent="0.25">
      <c r="C749" s="31"/>
      <c r="I749" s="43"/>
      <c r="J749" s="43"/>
      <c r="K749" s="43"/>
      <c r="N749" s="31"/>
      <c r="O749" s="43"/>
    </row>
    <row r="750" spans="3:15" ht="12.5" x14ac:dyDescent="0.25">
      <c r="C750" s="31"/>
      <c r="I750" s="43"/>
      <c r="J750" s="43"/>
      <c r="K750" s="43"/>
      <c r="N750" s="31"/>
      <c r="O750" s="43"/>
    </row>
    <row r="751" spans="3:15" ht="12.5" x14ac:dyDescent="0.25">
      <c r="C751" s="31"/>
      <c r="I751" s="43"/>
      <c r="J751" s="43"/>
      <c r="K751" s="43"/>
      <c r="N751" s="31"/>
      <c r="O751" s="43"/>
    </row>
    <row r="752" spans="3:15" ht="12.5" x14ac:dyDescent="0.25">
      <c r="C752" s="31"/>
      <c r="I752" s="43"/>
      <c r="J752" s="43"/>
      <c r="K752" s="43"/>
      <c r="N752" s="31"/>
      <c r="O752" s="43"/>
    </row>
    <row r="753" spans="3:15" ht="12.5" x14ac:dyDescent="0.25">
      <c r="C753" s="31"/>
      <c r="I753" s="43"/>
      <c r="J753" s="43"/>
      <c r="K753" s="43"/>
      <c r="N753" s="31"/>
      <c r="O753" s="43"/>
    </row>
    <row r="754" spans="3:15" ht="12.5" x14ac:dyDescent="0.25">
      <c r="C754" s="31"/>
      <c r="I754" s="43"/>
      <c r="J754" s="43"/>
      <c r="K754" s="43"/>
      <c r="N754" s="31"/>
      <c r="O754" s="43"/>
    </row>
    <row r="755" spans="3:15" ht="12.5" x14ac:dyDescent="0.25">
      <c r="C755" s="31"/>
      <c r="I755" s="43"/>
      <c r="J755" s="43"/>
      <c r="K755" s="43"/>
      <c r="N755" s="31"/>
      <c r="O755" s="43"/>
    </row>
    <row r="756" spans="3:15" ht="12.5" x14ac:dyDescent="0.25">
      <c r="C756" s="31"/>
      <c r="I756" s="43"/>
      <c r="J756" s="43"/>
      <c r="K756" s="43"/>
      <c r="N756" s="31"/>
      <c r="O756" s="43"/>
    </row>
    <row r="757" spans="3:15" ht="12.5" x14ac:dyDescent="0.25">
      <c r="C757" s="31"/>
      <c r="I757" s="43"/>
      <c r="J757" s="43"/>
      <c r="K757" s="43"/>
      <c r="N757" s="31"/>
      <c r="O757" s="43"/>
    </row>
    <row r="758" spans="3:15" ht="12.5" x14ac:dyDescent="0.25">
      <c r="C758" s="31"/>
      <c r="I758" s="43"/>
      <c r="J758" s="43"/>
      <c r="K758" s="43"/>
      <c r="N758" s="31"/>
      <c r="O758" s="43"/>
    </row>
    <row r="759" spans="3:15" ht="12.5" x14ac:dyDescent="0.25">
      <c r="C759" s="31"/>
      <c r="I759" s="43"/>
      <c r="J759" s="43"/>
      <c r="K759" s="43"/>
      <c r="N759" s="31"/>
      <c r="O759" s="43"/>
    </row>
    <row r="760" spans="3:15" ht="12.5" x14ac:dyDescent="0.25">
      <c r="C760" s="31"/>
      <c r="I760" s="43"/>
      <c r="J760" s="43"/>
      <c r="K760" s="43"/>
      <c r="N760" s="31"/>
      <c r="O760" s="43"/>
    </row>
    <row r="761" spans="3:15" ht="12.5" x14ac:dyDescent="0.25">
      <c r="C761" s="31"/>
      <c r="I761" s="43"/>
      <c r="J761" s="43"/>
      <c r="K761" s="43"/>
      <c r="N761" s="31"/>
      <c r="O761" s="43"/>
    </row>
    <row r="762" spans="3:15" ht="12.5" x14ac:dyDescent="0.25">
      <c r="C762" s="31"/>
      <c r="I762" s="43"/>
      <c r="J762" s="43"/>
      <c r="K762" s="43"/>
      <c r="N762" s="31"/>
      <c r="O762" s="43"/>
    </row>
    <row r="763" spans="3:15" ht="12.5" x14ac:dyDescent="0.25">
      <c r="C763" s="31"/>
      <c r="I763" s="43"/>
      <c r="J763" s="43"/>
      <c r="K763" s="43"/>
      <c r="N763" s="31"/>
      <c r="O763" s="43"/>
    </row>
    <row r="764" spans="3:15" ht="12.5" x14ac:dyDescent="0.25">
      <c r="C764" s="31"/>
      <c r="I764" s="43"/>
      <c r="J764" s="43"/>
      <c r="K764" s="43"/>
      <c r="N764" s="31"/>
      <c r="O764" s="43"/>
    </row>
    <row r="765" spans="3:15" ht="12.5" x14ac:dyDescent="0.25">
      <c r="C765" s="31"/>
      <c r="I765" s="43"/>
      <c r="J765" s="43"/>
      <c r="K765" s="43"/>
      <c r="N765" s="31"/>
      <c r="O765" s="43"/>
    </row>
    <row r="766" spans="3:15" ht="12.5" x14ac:dyDescent="0.25">
      <c r="C766" s="31"/>
      <c r="I766" s="43"/>
      <c r="J766" s="43"/>
      <c r="K766" s="43"/>
      <c r="N766" s="31"/>
      <c r="O766" s="43"/>
    </row>
    <row r="767" spans="3:15" ht="12.5" x14ac:dyDescent="0.25">
      <c r="C767" s="31"/>
      <c r="I767" s="43"/>
      <c r="J767" s="43"/>
      <c r="K767" s="43"/>
      <c r="N767" s="31"/>
      <c r="O767" s="43"/>
    </row>
    <row r="768" spans="3:15" ht="12.5" x14ac:dyDescent="0.25">
      <c r="C768" s="31"/>
      <c r="I768" s="43"/>
      <c r="J768" s="43"/>
      <c r="K768" s="43"/>
      <c r="N768" s="31"/>
      <c r="O768" s="43"/>
    </row>
    <row r="769" spans="3:15" ht="12.5" x14ac:dyDescent="0.25">
      <c r="C769" s="31"/>
      <c r="I769" s="43"/>
      <c r="J769" s="43"/>
      <c r="K769" s="43"/>
      <c r="N769" s="31"/>
      <c r="O769" s="43"/>
    </row>
    <row r="770" spans="3:15" ht="12.5" x14ac:dyDescent="0.25">
      <c r="C770" s="31"/>
      <c r="I770" s="43"/>
      <c r="J770" s="43"/>
      <c r="K770" s="43"/>
      <c r="N770" s="31"/>
      <c r="O770" s="43"/>
    </row>
    <row r="771" spans="3:15" ht="12.5" x14ac:dyDescent="0.25">
      <c r="C771" s="31"/>
      <c r="I771" s="43"/>
      <c r="J771" s="43"/>
      <c r="K771" s="43"/>
      <c r="N771" s="31"/>
      <c r="O771" s="43"/>
    </row>
    <row r="772" spans="3:15" ht="12.5" x14ac:dyDescent="0.25">
      <c r="C772" s="31"/>
      <c r="I772" s="43"/>
      <c r="J772" s="43"/>
      <c r="K772" s="43"/>
      <c r="N772" s="31"/>
      <c r="O772" s="43"/>
    </row>
    <row r="773" spans="3:15" ht="12.5" x14ac:dyDescent="0.25">
      <c r="C773" s="31"/>
      <c r="I773" s="43"/>
      <c r="J773" s="43"/>
      <c r="K773" s="43"/>
      <c r="N773" s="31"/>
      <c r="O773" s="43"/>
    </row>
    <row r="774" spans="3:15" ht="12.5" x14ac:dyDescent="0.25">
      <c r="C774" s="31"/>
      <c r="I774" s="43"/>
      <c r="J774" s="43"/>
      <c r="K774" s="43"/>
      <c r="N774" s="31"/>
      <c r="O774" s="43"/>
    </row>
    <row r="775" spans="3:15" ht="12.5" x14ac:dyDescent="0.25">
      <c r="C775" s="31"/>
      <c r="I775" s="43"/>
      <c r="J775" s="43"/>
      <c r="K775" s="43"/>
      <c r="N775" s="31"/>
      <c r="O775" s="43"/>
    </row>
    <row r="776" spans="3:15" ht="12.5" x14ac:dyDescent="0.25">
      <c r="C776" s="31"/>
      <c r="I776" s="43"/>
      <c r="J776" s="43"/>
      <c r="K776" s="43"/>
      <c r="N776" s="31"/>
      <c r="O776" s="43"/>
    </row>
    <row r="777" spans="3:15" ht="12.5" x14ac:dyDescent="0.25">
      <c r="C777" s="31"/>
      <c r="I777" s="43"/>
      <c r="J777" s="43"/>
      <c r="K777" s="43"/>
      <c r="N777" s="31"/>
      <c r="O777" s="43"/>
    </row>
    <row r="778" spans="3:15" ht="12.5" x14ac:dyDescent="0.25">
      <c r="C778" s="31"/>
      <c r="I778" s="43"/>
      <c r="J778" s="43"/>
      <c r="K778" s="43"/>
      <c r="N778" s="31"/>
      <c r="O778" s="43"/>
    </row>
    <row r="779" spans="3:15" ht="12.5" x14ac:dyDescent="0.25">
      <c r="C779" s="31"/>
      <c r="I779" s="43"/>
      <c r="J779" s="43"/>
      <c r="K779" s="43"/>
      <c r="N779" s="31"/>
      <c r="O779" s="43"/>
    </row>
    <row r="780" spans="3:15" ht="12.5" x14ac:dyDescent="0.25">
      <c r="C780" s="31"/>
      <c r="I780" s="43"/>
      <c r="J780" s="43"/>
      <c r="K780" s="43"/>
      <c r="N780" s="31"/>
      <c r="O780" s="43"/>
    </row>
    <row r="781" spans="3:15" ht="12.5" x14ac:dyDescent="0.25">
      <c r="C781" s="31"/>
      <c r="I781" s="43"/>
      <c r="J781" s="43"/>
      <c r="K781" s="43"/>
      <c r="N781" s="31"/>
      <c r="O781" s="43"/>
    </row>
    <row r="782" spans="3:15" ht="12.5" x14ac:dyDescent="0.25">
      <c r="C782" s="31"/>
      <c r="I782" s="43"/>
      <c r="J782" s="43"/>
      <c r="K782" s="43"/>
      <c r="N782" s="31"/>
      <c r="O782" s="43"/>
    </row>
    <row r="783" spans="3:15" ht="12.5" x14ac:dyDescent="0.25">
      <c r="C783" s="31"/>
      <c r="I783" s="43"/>
      <c r="J783" s="43"/>
      <c r="K783" s="43"/>
      <c r="N783" s="31"/>
      <c r="O783" s="43"/>
    </row>
    <row r="784" spans="3:15" ht="12.5" x14ac:dyDescent="0.25">
      <c r="C784" s="31"/>
      <c r="I784" s="43"/>
      <c r="J784" s="43"/>
      <c r="K784" s="43"/>
      <c r="N784" s="31"/>
      <c r="O784" s="43"/>
    </row>
    <row r="785" spans="3:15" ht="12.5" x14ac:dyDescent="0.25">
      <c r="C785" s="31"/>
      <c r="I785" s="43"/>
      <c r="J785" s="43"/>
      <c r="K785" s="43"/>
      <c r="N785" s="31"/>
      <c r="O785" s="43"/>
    </row>
    <row r="786" spans="3:15" ht="12.5" x14ac:dyDescent="0.25">
      <c r="C786" s="31"/>
      <c r="I786" s="43"/>
      <c r="J786" s="43"/>
      <c r="K786" s="43"/>
      <c r="N786" s="31"/>
      <c r="O786" s="43"/>
    </row>
    <row r="787" spans="3:15" ht="12.5" x14ac:dyDescent="0.25">
      <c r="C787" s="31"/>
      <c r="I787" s="43"/>
      <c r="J787" s="43"/>
      <c r="K787" s="43"/>
      <c r="N787" s="31"/>
      <c r="O787" s="43"/>
    </row>
    <row r="788" spans="3:15" ht="12.5" x14ac:dyDescent="0.25">
      <c r="C788" s="31"/>
      <c r="I788" s="43"/>
      <c r="J788" s="43"/>
      <c r="K788" s="43"/>
      <c r="N788" s="31"/>
      <c r="O788" s="43"/>
    </row>
    <row r="789" spans="3:15" ht="12.5" x14ac:dyDescent="0.25">
      <c r="C789" s="31"/>
      <c r="I789" s="43"/>
      <c r="J789" s="43"/>
      <c r="K789" s="43"/>
      <c r="N789" s="31"/>
      <c r="O789" s="43"/>
    </row>
    <row r="790" spans="3:15" ht="12.5" x14ac:dyDescent="0.25">
      <c r="C790" s="31"/>
      <c r="I790" s="43"/>
      <c r="J790" s="43"/>
      <c r="K790" s="43"/>
      <c r="N790" s="31"/>
      <c r="O790" s="43"/>
    </row>
    <row r="791" spans="3:15" ht="12.5" x14ac:dyDescent="0.25">
      <c r="C791" s="31"/>
      <c r="I791" s="43"/>
      <c r="J791" s="43"/>
      <c r="K791" s="43"/>
      <c r="N791" s="31"/>
      <c r="O791" s="43"/>
    </row>
    <row r="792" spans="3:15" ht="12.5" x14ac:dyDescent="0.25">
      <c r="C792" s="31"/>
      <c r="I792" s="43"/>
      <c r="J792" s="43"/>
      <c r="K792" s="43"/>
      <c r="N792" s="31"/>
      <c r="O792" s="43"/>
    </row>
    <row r="793" spans="3:15" ht="12.5" x14ac:dyDescent="0.25">
      <c r="C793" s="31"/>
      <c r="I793" s="43"/>
      <c r="J793" s="43"/>
      <c r="K793" s="43"/>
      <c r="N793" s="31"/>
      <c r="O793" s="43"/>
    </row>
    <row r="794" spans="3:15" ht="12.5" x14ac:dyDescent="0.25">
      <c r="C794" s="31"/>
      <c r="I794" s="43"/>
      <c r="J794" s="43"/>
      <c r="K794" s="43"/>
      <c r="N794" s="31"/>
      <c r="O794" s="43"/>
    </row>
    <row r="795" spans="3:15" ht="12.5" x14ac:dyDescent="0.25">
      <c r="C795" s="31"/>
      <c r="I795" s="43"/>
      <c r="J795" s="43"/>
      <c r="K795" s="43"/>
      <c r="N795" s="31"/>
      <c r="O795" s="43"/>
    </row>
    <row r="796" spans="3:15" ht="12.5" x14ac:dyDescent="0.25">
      <c r="C796" s="31"/>
      <c r="I796" s="43"/>
      <c r="J796" s="43"/>
      <c r="K796" s="43"/>
      <c r="N796" s="31"/>
      <c r="O796" s="43"/>
    </row>
    <row r="797" spans="3:15" ht="12.5" x14ac:dyDescent="0.25">
      <c r="C797" s="31"/>
      <c r="I797" s="43"/>
      <c r="J797" s="43"/>
      <c r="K797" s="43"/>
      <c r="N797" s="31"/>
      <c r="O797" s="43"/>
    </row>
    <row r="798" spans="3:15" ht="12.5" x14ac:dyDescent="0.25">
      <c r="C798" s="31"/>
      <c r="I798" s="43"/>
      <c r="J798" s="43"/>
      <c r="K798" s="43"/>
      <c r="N798" s="31"/>
      <c r="O798" s="43"/>
    </row>
    <row r="799" spans="3:15" ht="12.5" x14ac:dyDescent="0.25">
      <c r="C799" s="31"/>
      <c r="I799" s="43"/>
      <c r="J799" s="43"/>
      <c r="K799" s="43"/>
      <c r="N799" s="31"/>
      <c r="O799" s="43"/>
    </row>
    <row r="800" spans="3:15" ht="12.5" x14ac:dyDescent="0.25">
      <c r="C800" s="31"/>
      <c r="I800" s="43"/>
      <c r="J800" s="43"/>
      <c r="K800" s="43"/>
      <c r="N800" s="31"/>
      <c r="O800" s="43"/>
    </row>
    <row r="801" spans="3:15" ht="12.5" x14ac:dyDescent="0.25">
      <c r="C801" s="31"/>
      <c r="I801" s="43"/>
      <c r="J801" s="43"/>
      <c r="K801" s="43"/>
      <c r="N801" s="31"/>
      <c r="O801" s="43"/>
    </row>
    <row r="802" spans="3:15" ht="12.5" x14ac:dyDescent="0.25">
      <c r="C802" s="31"/>
      <c r="I802" s="43"/>
      <c r="J802" s="43"/>
      <c r="K802" s="43"/>
      <c r="N802" s="31"/>
      <c r="O802" s="43"/>
    </row>
    <row r="803" spans="3:15" ht="12.5" x14ac:dyDescent="0.25">
      <c r="C803" s="31"/>
      <c r="I803" s="43"/>
      <c r="J803" s="43"/>
      <c r="K803" s="43"/>
      <c r="N803" s="31"/>
      <c r="O803" s="43"/>
    </row>
    <row r="804" spans="3:15" ht="12.5" x14ac:dyDescent="0.25">
      <c r="C804" s="31"/>
      <c r="I804" s="43"/>
      <c r="J804" s="43"/>
      <c r="K804" s="43"/>
      <c r="N804" s="31"/>
      <c r="O804" s="43"/>
    </row>
    <row r="805" spans="3:15" ht="12.5" x14ac:dyDescent="0.25">
      <c r="C805" s="31"/>
      <c r="I805" s="43"/>
      <c r="J805" s="43"/>
      <c r="K805" s="43"/>
      <c r="N805" s="31"/>
      <c r="O805" s="43"/>
    </row>
    <row r="806" spans="3:15" ht="12.5" x14ac:dyDescent="0.25">
      <c r="C806" s="31"/>
      <c r="I806" s="43"/>
      <c r="J806" s="43"/>
      <c r="K806" s="43"/>
      <c r="N806" s="31"/>
      <c r="O806" s="43"/>
    </row>
    <row r="807" spans="3:15" ht="12.5" x14ac:dyDescent="0.25">
      <c r="C807" s="31"/>
      <c r="I807" s="43"/>
      <c r="J807" s="43"/>
      <c r="K807" s="43"/>
      <c r="N807" s="31"/>
      <c r="O807" s="43"/>
    </row>
    <row r="808" spans="3:15" ht="12.5" x14ac:dyDescent="0.25">
      <c r="C808" s="31"/>
      <c r="I808" s="43"/>
      <c r="J808" s="43"/>
      <c r="K808" s="43"/>
      <c r="N808" s="31"/>
      <c r="O808" s="43"/>
    </row>
    <row r="809" spans="3:15" ht="12.5" x14ac:dyDescent="0.25">
      <c r="C809" s="31"/>
      <c r="I809" s="43"/>
      <c r="J809" s="43"/>
      <c r="K809" s="43"/>
      <c r="N809" s="31"/>
      <c r="O809" s="43"/>
    </row>
    <row r="810" spans="3:15" ht="12.5" x14ac:dyDescent="0.25">
      <c r="C810" s="31"/>
      <c r="I810" s="43"/>
      <c r="J810" s="43"/>
      <c r="K810" s="43"/>
      <c r="N810" s="31"/>
      <c r="O810" s="43"/>
    </row>
    <row r="811" spans="3:15" ht="12.5" x14ac:dyDescent="0.25">
      <c r="C811" s="31"/>
      <c r="I811" s="43"/>
      <c r="J811" s="43"/>
      <c r="K811" s="43"/>
      <c r="N811" s="31"/>
      <c r="O811" s="43"/>
    </row>
    <row r="812" spans="3:15" ht="12.5" x14ac:dyDescent="0.25">
      <c r="C812" s="31"/>
      <c r="I812" s="43"/>
      <c r="J812" s="43"/>
      <c r="K812" s="43"/>
      <c r="N812" s="31"/>
      <c r="O812" s="43"/>
    </row>
    <row r="813" spans="3:15" ht="12.5" x14ac:dyDescent="0.25">
      <c r="C813" s="31"/>
      <c r="I813" s="43"/>
      <c r="J813" s="43"/>
      <c r="K813" s="43"/>
      <c r="N813" s="31"/>
      <c r="O813" s="43"/>
    </row>
    <row r="814" spans="3:15" ht="12.5" x14ac:dyDescent="0.25">
      <c r="C814" s="31"/>
      <c r="I814" s="43"/>
      <c r="J814" s="43"/>
      <c r="K814" s="43"/>
      <c r="N814" s="31"/>
      <c r="O814" s="43"/>
    </row>
    <row r="815" spans="3:15" ht="12.5" x14ac:dyDescent="0.25">
      <c r="C815" s="31"/>
      <c r="I815" s="43"/>
      <c r="J815" s="43"/>
      <c r="K815" s="43"/>
      <c r="N815" s="31"/>
      <c r="O815" s="43"/>
    </row>
    <row r="816" spans="3:15" ht="12.5" x14ac:dyDescent="0.25">
      <c r="C816" s="31"/>
      <c r="I816" s="43"/>
      <c r="J816" s="43"/>
      <c r="K816" s="43"/>
      <c r="N816" s="31"/>
      <c r="O816" s="43"/>
    </row>
    <row r="817" spans="3:15" ht="12.5" x14ac:dyDescent="0.25">
      <c r="C817" s="31"/>
      <c r="I817" s="43"/>
      <c r="J817" s="43"/>
      <c r="K817" s="43"/>
      <c r="N817" s="31"/>
      <c r="O817" s="43"/>
    </row>
    <row r="818" spans="3:15" ht="12.5" x14ac:dyDescent="0.25">
      <c r="C818" s="31"/>
      <c r="I818" s="43"/>
      <c r="J818" s="43"/>
      <c r="K818" s="43"/>
      <c r="N818" s="31"/>
      <c r="O818" s="43"/>
    </row>
    <row r="819" spans="3:15" ht="12.5" x14ac:dyDescent="0.25">
      <c r="C819" s="31"/>
      <c r="I819" s="43"/>
      <c r="J819" s="43"/>
      <c r="K819" s="43"/>
      <c r="N819" s="31"/>
      <c r="O819" s="43"/>
    </row>
    <row r="820" spans="3:15" ht="12.5" x14ac:dyDescent="0.25">
      <c r="C820" s="31"/>
      <c r="I820" s="43"/>
      <c r="J820" s="43"/>
      <c r="K820" s="43"/>
      <c r="N820" s="31"/>
      <c r="O820" s="43"/>
    </row>
    <row r="821" spans="3:15" ht="12.5" x14ac:dyDescent="0.25">
      <c r="C821" s="31"/>
      <c r="I821" s="43"/>
      <c r="J821" s="43"/>
      <c r="K821" s="43"/>
      <c r="N821" s="31"/>
      <c r="O821" s="43"/>
    </row>
    <row r="822" spans="3:15" ht="12.5" x14ac:dyDescent="0.25">
      <c r="C822" s="31"/>
      <c r="I822" s="43"/>
      <c r="J822" s="43"/>
      <c r="K822" s="43"/>
      <c r="N822" s="31"/>
      <c r="O822" s="43"/>
    </row>
    <row r="823" spans="3:15" ht="12.5" x14ac:dyDescent="0.25">
      <c r="C823" s="31"/>
      <c r="I823" s="43"/>
      <c r="J823" s="43"/>
      <c r="K823" s="43"/>
      <c r="N823" s="31"/>
      <c r="O823" s="43"/>
    </row>
    <row r="824" spans="3:15" ht="12.5" x14ac:dyDescent="0.25">
      <c r="C824" s="31"/>
      <c r="I824" s="43"/>
      <c r="J824" s="43"/>
      <c r="K824" s="43"/>
      <c r="N824" s="31"/>
      <c r="O824" s="43"/>
    </row>
    <row r="825" spans="3:15" ht="12.5" x14ac:dyDescent="0.25">
      <c r="C825" s="31"/>
      <c r="I825" s="43"/>
      <c r="J825" s="43"/>
      <c r="K825" s="43"/>
      <c r="N825" s="31"/>
      <c r="O825" s="43"/>
    </row>
    <row r="826" spans="3:15" ht="12.5" x14ac:dyDescent="0.25">
      <c r="C826" s="31"/>
      <c r="I826" s="43"/>
      <c r="J826" s="43"/>
      <c r="K826" s="43"/>
      <c r="N826" s="31"/>
      <c r="O826" s="43"/>
    </row>
    <row r="827" spans="3:15" ht="12.5" x14ac:dyDescent="0.25">
      <c r="C827" s="31"/>
      <c r="I827" s="43"/>
      <c r="J827" s="43"/>
      <c r="K827" s="43"/>
      <c r="N827" s="31"/>
      <c r="O827" s="43"/>
    </row>
    <row r="828" spans="3:15" ht="12.5" x14ac:dyDescent="0.25">
      <c r="C828" s="31"/>
      <c r="I828" s="43"/>
      <c r="J828" s="43"/>
      <c r="K828" s="43"/>
      <c r="N828" s="31"/>
      <c r="O828" s="43"/>
    </row>
    <row r="829" spans="3:15" ht="12.5" x14ac:dyDescent="0.25">
      <c r="C829" s="31"/>
      <c r="I829" s="43"/>
      <c r="J829" s="43"/>
      <c r="K829" s="43"/>
      <c r="N829" s="31"/>
      <c r="O829" s="43"/>
    </row>
    <row r="830" spans="3:15" ht="12.5" x14ac:dyDescent="0.25">
      <c r="C830" s="31"/>
      <c r="I830" s="43"/>
      <c r="J830" s="43"/>
      <c r="K830" s="43"/>
      <c r="N830" s="31"/>
      <c r="O830" s="43"/>
    </row>
    <row r="831" spans="3:15" ht="12.5" x14ac:dyDescent="0.25">
      <c r="C831" s="31"/>
      <c r="I831" s="43"/>
      <c r="J831" s="43"/>
      <c r="K831" s="43"/>
      <c r="N831" s="31"/>
      <c r="O831" s="43"/>
    </row>
    <row r="832" spans="3:15" ht="12.5" x14ac:dyDescent="0.25">
      <c r="C832" s="31"/>
      <c r="I832" s="43"/>
      <c r="J832" s="43"/>
      <c r="K832" s="43"/>
      <c r="N832" s="31"/>
      <c r="O832" s="43"/>
    </row>
    <row r="833" spans="3:15" ht="12.5" x14ac:dyDescent="0.25">
      <c r="C833" s="31"/>
      <c r="I833" s="43"/>
      <c r="J833" s="43"/>
      <c r="K833" s="43"/>
      <c r="N833" s="31"/>
      <c r="O833" s="43"/>
    </row>
    <row r="834" spans="3:15" ht="12.5" x14ac:dyDescent="0.25">
      <c r="C834" s="31"/>
      <c r="I834" s="43"/>
      <c r="J834" s="43"/>
      <c r="K834" s="43"/>
      <c r="N834" s="31"/>
      <c r="O834" s="43"/>
    </row>
    <row r="835" spans="3:15" ht="12.5" x14ac:dyDescent="0.25">
      <c r="C835" s="31"/>
      <c r="I835" s="43"/>
      <c r="J835" s="43"/>
      <c r="K835" s="43"/>
      <c r="N835" s="31"/>
      <c r="O835" s="43"/>
    </row>
    <row r="836" spans="3:15" ht="12.5" x14ac:dyDescent="0.25">
      <c r="C836" s="31"/>
      <c r="I836" s="43"/>
      <c r="J836" s="43"/>
      <c r="K836" s="43"/>
      <c r="N836" s="31"/>
      <c r="O836" s="43"/>
    </row>
    <row r="837" spans="3:15" ht="12.5" x14ac:dyDescent="0.25">
      <c r="C837" s="31"/>
      <c r="I837" s="43"/>
      <c r="J837" s="43"/>
      <c r="K837" s="43"/>
      <c r="N837" s="31"/>
      <c r="O837" s="43"/>
    </row>
    <row r="838" spans="3:15" ht="12.5" x14ac:dyDescent="0.25">
      <c r="C838" s="31"/>
      <c r="I838" s="43"/>
      <c r="J838" s="43"/>
      <c r="K838" s="43"/>
      <c r="N838" s="31"/>
      <c r="O838" s="43"/>
    </row>
    <row r="839" spans="3:15" ht="12.5" x14ac:dyDescent="0.25">
      <c r="C839" s="31"/>
      <c r="I839" s="43"/>
      <c r="J839" s="43"/>
      <c r="K839" s="43"/>
      <c r="N839" s="31"/>
      <c r="O839" s="43"/>
    </row>
    <row r="840" spans="3:15" ht="12.5" x14ac:dyDescent="0.25">
      <c r="C840" s="31"/>
      <c r="I840" s="43"/>
      <c r="J840" s="43"/>
      <c r="K840" s="43"/>
      <c r="N840" s="31"/>
      <c r="O840" s="43"/>
    </row>
    <row r="841" spans="3:15" ht="12.5" x14ac:dyDescent="0.25">
      <c r="C841" s="31"/>
      <c r="I841" s="43"/>
      <c r="J841" s="43"/>
      <c r="K841" s="43"/>
      <c r="N841" s="31"/>
      <c r="O841" s="43"/>
    </row>
    <row r="842" spans="3:15" ht="12.5" x14ac:dyDescent="0.25">
      <c r="C842" s="31"/>
      <c r="I842" s="43"/>
      <c r="J842" s="43"/>
      <c r="K842" s="43"/>
      <c r="N842" s="31"/>
      <c r="O842" s="43"/>
    </row>
    <row r="843" spans="3:15" ht="12.5" x14ac:dyDescent="0.25">
      <c r="C843" s="31"/>
      <c r="I843" s="43"/>
      <c r="J843" s="43"/>
      <c r="K843" s="43"/>
      <c r="N843" s="31"/>
      <c r="O843" s="43"/>
    </row>
    <row r="844" spans="3:15" ht="12.5" x14ac:dyDescent="0.25">
      <c r="C844" s="31"/>
      <c r="I844" s="43"/>
      <c r="J844" s="43"/>
      <c r="K844" s="43"/>
      <c r="N844" s="31"/>
      <c r="O844" s="43"/>
    </row>
    <row r="845" spans="3:15" ht="12.5" x14ac:dyDescent="0.25">
      <c r="C845" s="31"/>
      <c r="I845" s="43"/>
      <c r="J845" s="43"/>
      <c r="K845" s="43"/>
      <c r="N845" s="31"/>
      <c r="O845" s="43"/>
    </row>
    <row r="846" spans="3:15" ht="12.5" x14ac:dyDescent="0.25">
      <c r="C846" s="31"/>
      <c r="I846" s="43"/>
      <c r="J846" s="43"/>
      <c r="K846" s="43"/>
      <c r="N846" s="31"/>
      <c r="O846" s="43"/>
    </row>
    <row r="847" spans="3:15" ht="12.5" x14ac:dyDescent="0.25">
      <c r="C847" s="31"/>
      <c r="I847" s="43"/>
      <c r="J847" s="43"/>
      <c r="K847" s="43"/>
      <c r="N847" s="31"/>
      <c r="O847" s="43"/>
    </row>
    <row r="848" spans="3:15" ht="12.5" x14ac:dyDescent="0.25">
      <c r="C848" s="31"/>
      <c r="I848" s="43"/>
      <c r="J848" s="43"/>
      <c r="K848" s="43"/>
      <c r="N848" s="31"/>
      <c r="O848" s="43"/>
    </row>
    <row r="849" spans="3:15" ht="12.5" x14ac:dyDescent="0.25">
      <c r="C849" s="31"/>
      <c r="I849" s="43"/>
      <c r="J849" s="43"/>
      <c r="K849" s="43"/>
      <c r="N849" s="31"/>
      <c r="O849" s="43"/>
    </row>
    <row r="850" spans="3:15" ht="12.5" x14ac:dyDescent="0.25">
      <c r="C850" s="31"/>
      <c r="I850" s="43"/>
      <c r="J850" s="43"/>
      <c r="K850" s="43"/>
      <c r="N850" s="31"/>
      <c r="O850" s="43"/>
    </row>
    <row r="851" spans="3:15" ht="12.5" x14ac:dyDescent="0.25">
      <c r="C851" s="31"/>
      <c r="I851" s="43"/>
      <c r="J851" s="43"/>
      <c r="K851" s="43"/>
      <c r="N851" s="31"/>
      <c r="O851" s="43"/>
    </row>
    <row r="852" spans="3:15" ht="12.5" x14ac:dyDescent="0.25">
      <c r="C852" s="31"/>
      <c r="I852" s="43"/>
      <c r="J852" s="43"/>
      <c r="K852" s="43"/>
      <c r="N852" s="31"/>
      <c r="O852" s="43"/>
    </row>
    <row r="853" spans="3:15" ht="12.5" x14ac:dyDescent="0.25">
      <c r="C853" s="31"/>
      <c r="I853" s="43"/>
      <c r="J853" s="43"/>
      <c r="K853" s="43"/>
      <c r="N853" s="31"/>
      <c r="O853" s="43"/>
    </row>
    <row r="854" spans="3:15" ht="12.5" x14ac:dyDescent="0.25">
      <c r="C854" s="31"/>
      <c r="I854" s="43"/>
      <c r="J854" s="43"/>
      <c r="K854" s="43"/>
      <c r="N854" s="31"/>
      <c r="O854" s="43"/>
    </row>
    <row r="855" spans="3:15" ht="12.5" x14ac:dyDescent="0.25">
      <c r="C855" s="31"/>
      <c r="I855" s="43"/>
      <c r="J855" s="43"/>
      <c r="K855" s="43"/>
      <c r="N855" s="31"/>
      <c r="O855" s="43"/>
    </row>
    <row r="856" spans="3:15" ht="12.5" x14ac:dyDescent="0.25">
      <c r="C856" s="31"/>
      <c r="I856" s="43"/>
      <c r="J856" s="43"/>
      <c r="K856" s="43"/>
      <c r="N856" s="31"/>
      <c r="O856" s="43"/>
    </row>
    <row r="857" spans="3:15" ht="12.5" x14ac:dyDescent="0.25">
      <c r="C857" s="31"/>
      <c r="I857" s="43"/>
      <c r="J857" s="43"/>
      <c r="K857" s="43"/>
      <c r="N857" s="31"/>
      <c r="O857" s="43"/>
    </row>
    <row r="858" spans="3:15" ht="12.5" x14ac:dyDescent="0.25">
      <c r="C858" s="31"/>
      <c r="I858" s="43"/>
      <c r="J858" s="43"/>
      <c r="K858" s="43"/>
      <c r="N858" s="31"/>
      <c r="O858" s="43"/>
    </row>
    <row r="859" spans="3:15" ht="12.5" x14ac:dyDescent="0.25">
      <c r="C859" s="31"/>
      <c r="I859" s="43"/>
      <c r="J859" s="43"/>
      <c r="K859" s="43"/>
      <c r="N859" s="31"/>
      <c r="O859" s="43"/>
    </row>
    <row r="860" spans="3:15" ht="12.5" x14ac:dyDescent="0.25">
      <c r="C860" s="31"/>
      <c r="I860" s="43"/>
      <c r="J860" s="43"/>
      <c r="K860" s="43"/>
      <c r="N860" s="31"/>
      <c r="O860" s="43"/>
    </row>
    <row r="861" spans="3:15" ht="12.5" x14ac:dyDescent="0.25">
      <c r="C861" s="31"/>
      <c r="I861" s="43"/>
      <c r="J861" s="43"/>
      <c r="K861" s="43"/>
      <c r="N861" s="31"/>
      <c r="O861" s="43"/>
    </row>
    <row r="862" spans="3:15" ht="12.5" x14ac:dyDescent="0.25">
      <c r="C862" s="31"/>
      <c r="I862" s="43"/>
      <c r="J862" s="43"/>
      <c r="K862" s="43"/>
      <c r="N862" s="31"/>
      <c r="O862" s="43"/>
    </row>
    <row r="863" spans="3:15" ht="12.5" x14ac:dyDescent="0.25">
      <c r="C863" s="31"/>
      <c r="I863" s="43"/>
      <c r="J863" s="43"/>
      <c r="K863" s="43"/>
      <c r="N863" s="31"/>
      <c r="O863" s="43"/>
    </row>
    <row r="864" spans="3:15" ht="12.5" x14ac:dyDescent="0.25">
      <c r="C864" s="31"/>
      <c r="I864" s="43"/>
      <c r="J864" s="43"/>
      <c r="K864" s="43"/>
      <c r="N864" s="31"/>
      <c r="O864" s="43"/>
    </row>
    <row r="865" spans="3:15" ht="12.5" x14ac:dyDescent="0.25">
      <c r="C865" s="31"/>
      <c r="I865" s="43"/>
      <c r="J865" s="43"/>
      <c r="K865" s="43"/>
      <c r="N865" s="31"/>
      <c r="O865" s="43"/>
    </row>
    <row r="866" spans="3:15" ht="12.5" x14ac:dyDescent="0.25">
      <c r="C866" s="31"/>
      <c r="I866" s="43"/>
      <c r="J866" s="43"/>
      <c r="K866" s="43"/>
      <c r="N866" s="31"/>
      <c r="O866" s="43"/>
    </row>
    <row r="867" spans="3:15" ht="12.5" x14ac:dyDescent="0.25">
      <c r="C867" s="31"/>
      <c r="I867" s="43"/>
      <c r="J867" s="43"/>
      <c r="K867" s="43"/>
      <c r="N867" s="31"/>
      <c r="O867" s="43"/>
    </row>
    <row r="868" spans="3:15" ht="12.5" x14ac:dyDescent="0.25">
      <c r="C868" s="31"/>
      <c r="I868" s="43"/>
      <c r="J868" s="43"/>
      <c r="K868" s="43"/>
      <c r="N868" s="31"/>
      <c r="O868" s="43"/>
    </row>
    <row r="869" spans="3:15" ht="12.5" x14ac:dyDescent="0.25">
      <c r="C869" s="31"/>
      <c r="I869" s="43"/>
      <c r="J869" s="43"/>
      <c r="K869" s="43"/>
      <c r="N869" s="31"/>
      <c r="O869" s="43"/>
    </row>
    <row r="870" spans="3:15" ht="12.5" x14ac:dyDescent="0.25">
      <c r="C870" s="31"/>
      <c r="I870" s="43"/>
      <c r="J870" s="43"/>
      <c r="K870" s="43"/>
      <c r="N870" s="31"/>
      <c r="O870" s="43"/>
    </row>
    <row r="871" spans="3:15" ht="12.5" x14ac:dyDescent="0.25">
      <c r="C871" s="31"/>
      <c r="I871" s="43"/>
      <c r="J871" s="43"/>
      <c r="K871" s="43"/>
      <c r="N871" s="31"/>
      <c r="O871" s="43"/>
    </row>
    <row r="872" spans="3:15" ht="12.5" x14ac:dyDescent="0.25">
      <c r="C872" s="31"/>
      <c r="I872" s="43"/>
      <c r="J872" s="43"/>
      <c r="K872" s="43"/>
      <c r="N872" s="31"/>
      <c r="O872" s="43"/>
    </row>
    <row r="873" spans="3:15" ht="12.5" x14ac:dyDescent="0.25">
      <c r="C873" s="31"/>
      <c r="I873" s="43"/>
      <c r="J873" s="43"/>
      <c r="K873" s="43"/>
      <c r="N873" s="31"/>
      <c r="O873" s="43"/>
    </row>
    <row r="874" spans="3:15" ht="12.5" x14ac:dyDescent="0.25">
      <c r="C874" s="31"/>
      <c r="I874" s="43"/>
      <c r="J874" s="43"/>
      <c r="K874" s="43"/>
      <c r="N874" s="31"/>
      <c r="O874" s="43"/>
    </row>
    <row r="875" spans="3:15" ht="12.5" x14ac:dyDescent="0.25">
      <c r="C875" s="31"/>
      <c r="I875" s="43"/>
      <c r="J875" s="43"/>
      <c r="K875" s="43"/>
      <c r="N875" s="31"/>
      <c r="O875" s="43"/>
    </row>
    <row r="876" spans="3:15" ht="12.5" x14ac:dyDescent="0.25">
      <c r="C876" s="31"/>
      <c r="I876" s="43"/>
      <c r="J876" s="43"/>
      <c r="K876" s="43"/>
      <c r="N876" s="31"/>
      <c r="O876" s="43"/>
    </row>
    <row r="877" spans="3:15" ht="12.5" x14ac:dyDescent="0.25">
      <c r="C877" s="31"/>
      <c r="I877" s="43"/>
      <c r="J877" s="43"/>
      <c r="K877" s="43"/>
      <c r="N877" s="31"/>
      <c r="O877" s="43"/>
    </row>
    <row r="878" spans="3:15" ht="12.5" x14ac:dyDescent="0.25">
      <c r="C878" s="31"/>
      <c r="I878" s="43"/>
      <c r="J878" s="43"/>
      <c r="K878" s="43"/>
      <c r="N878" s="31"/>
      <c r="O878" s="43"/>
    </row>
    <row r="879" spans="3:15" ht="12.5" x14ac:dyDescent="0.25">
      <c r="C879" s="31"/>
      <c r="I879" s="43"/>
      <c r="J879" s="43"/>
      <c r="K879" s="43"/>
      <c r="N879" s="31"/>
      <c r="O879" s="43"/>
    </row>
    <row r="880" spans="3:15" ht="12.5" x14ac:dyDescent="0.25">
      <c r="C880" s="31"/>
      <c r="I880" s="43"/>
      <c r="J880" s="43"/>
      <c r="K880" s="43"/>
      <c r="N880" s="31"/>
      <c r="O880" s="43"/>
    </row>
    <row r="881" spans="3:15" ht="12.5" x14ac:dyDescent="0.25">
      <c r="C881" s="31"/>
      <c r="I881" s="43"/>
      <c r="J881" s="43"/>
      <c r="K881" s="43"/>
      <c r="N881" s="31"/>
      <c r="O881" s="43"/>
    </row>
    <row r="882" spans="3:15" ht="12.5" x14ac:dyDescent="0.25">
      <c r="C882" s="31"/>
      <c r="I882" s="43"/>
      <c r="J882" s="43"/>
      <c r="K882" s="43"/>
      <c r="N882" s="31"/>
      <c r="O882" s="43"/>
    </row>
    <row r="883" spans="3:15" ht="12.5" x14ac:dyDescent="0.25">
      <c r="C883" s="31"/>
      <c r="I883" s="43"/>
      <c r="J883" s="43"/>
      <c r="K883" s="43"/>
      <c r="N883" s="31"/>
      <c r="O883" s="43"/>
    </row>
    <row r="884" spans="3:15" ht="12.5" x14ac:dyDescent="0.25">
      <c r="C884" s="31"/>
      <c r="I884" s="43"/>
      <c r="J884" s="43"/>
      <c r="K884" s="43"/>
      <c r="N884" s="31"/>
      <c r="O884" s="43"/>
    </row>
    <row r="885" spans="3:15" ht="12.5" x14ac:dyDescent="0.25">
      <c r="C885" s="31"/>
      <c r="I885" s="43"/>
      <c r="J885" s="43"/>
      <c r="K885" s="43"/>
      <c r="N885" s="31"/>
      <c r="O885" s="43"/>
    </row>
    <row r="886" spans="3:15" ht="12.5" x14ac:dyDescent="0.25">
      <c r="C886" s="31"/>
      <c r="I886" s="43"/>
      <c r="J886" s="43"/>
      <c r="K886" s="43"/>
      <c r="N886" s="31"/>
      <c r="O886" s="43"/>
    </row>
    <row r="887" spans="3:15" ht="12.5" x14ac:dyDescent="0.25">
      <c r="C887" s="31"/>
      <c r="I887" s="43"/>
      <c r="J887" s="43"/>
      <c r="K887" s="43"/>
      <c r="N887" s="31"/>
      <c r="O887" s="43"/>
    </row>
    <row r="888" spans="3:15" ht="12.5" x14ac:dyDescent="0.25">
      <c r="C888" s="31"/>
      <c r="I888" s="43"/>
      <c r="J888" s="43"/>
      <c r="K888" s="43"/>
      <c r="N888" s="31"/>
      <c r="O888" s="43"/>
    </row>
    <row r="889" spans="3:15" ht="12.5" x14ac:dyDescent="0.25">
      <c r="C889" s="31"/>
      <c r="I889" s="43"/>
      <c r="J889" s="43"/>
      <c r="K889" s="43"/>
      <c r="N889" s="31"/>
      <c r="O889" s="43"/>
    </row>
    <row r="890" spans="3:15" ht="12.5" x14ac:dyDescent="0.25">
      <c r="C890" s="31"/>
      <c r="I890" s="43"/>
      <c r="J890" s="43"/>
      <c r="K890" s="43"/>
      <c r="N890" s="31"/>
      <c r="O890" s="43"/>
    </row>
    <row r="891" spans="3:15" ht="12.5" x14ac:dyDescent="0.25">
      <c r="C891" s="31"/>
      <c r="I891" s="43"/>
      <c r="J891" s="43"/>
      <c r="K891" s="43"/>
      <c r="N891" s="31"/>
      <c r="O891" s="43"/>
    </row>
    <row r="892" spans="3:15" ht="12.5" x14ac:dyDescent="0.25">
      <c r="C892" s="31"/>
      <c r="I892" s="43"/>
      <c r="J892" s="43"/>
      <c r="K892" s="43"/>
      <c r="N892" s="31"/>
      <c r="O892" s="43"/>
    </row>
    <row r="893" spans="3:15" ht="12.5" x14ac:dyDescent="0.25">
      <c r="C893" s="31"/>
      <c r="I893" s="43"/>
      <c r="J893" s="43"/>
      <c r="K893" s="43"/>
      <c r="N893" s="31"/>
      <c r="O893" s="43"/>
    </row>
    <row r="894" spans="3:15" ht="12.5" x14ac:dyDescent="0.25">
      <c r="C894" s="31"/>
      <c r="I894" s="43"/>
      <c r="J894" s="43"/>
      <c r="K894" s="43"/>
      <c r="N894" s="31"/>
      <c r="O894" s="43"/>
    </row>
    <row r="895" spans="3:15" ht="12.5" x14ac:dyDescent="0.25">
      <c r="C895" s="31"/>
      <c r="I895" s="43"/>
      <c r="J895" s="43"/>
      <c r="K895" s="43"/>
      <c r="N895" s="31"/>
      <c r="O895" s="43"/>
    </row>
    <row r="896" spans="3:15" ht="12.5" x14ac:dyDescent="0.25">
      <c r="C896" s="31"/>
      <c r="I896" s="43"/>
      <c r="J896" s="43"/>
      <c r="K896" s="43"/>
      <c r="N896" s="31"/>
      <c r="O896" s="43"/>
    </row>
    <row r="897" spans="3:15" ht="12.5" x14ac:dyDescent="0.25">
      <c r="C897" s="31"/>
      <c r="I897" s="43"/>
      <c r="J897" s="43"/>
      <c r="K897" s="43"/>
      <c r="N897" s="31"/>
      <c r="O897" s="43"/>
    </row>
    <row r="898" spans="3:15" ht="12.5" x14ac:dyDescent="0.25">
      <c r="C898" s="31"/>
      <c r="I898" s="43"/>
      <c r="J898" s="43"/>
      <c r="K898" s="43"/>
      <c r="N898" s="31"/>
      <c r="O898" s="43"/>
    </row>
    <row r="899" spans="3:15" ht="12.5" x14ac:dyDescent="0.25">
      <c r="C899" s="31"/>
      <c r="I899" s="43"/>
      <c r="J899" s="43"/>
      <c r="K899" s="43"/>
      <c r="N899" s="31"/>
      <c r="O899" s="43"/>
    </row>
    <row r="900" spans="3:15" ht="12.5" x14ac:dyDescent="0.25">
      <c r="C900" s="31"/>
      <c r="I900" s="43"/>
      <c r="J900" s="43"/>
      <c r="K900" s="43"/>
      <c r="N900" s="31"/>
      <c r="O900" s="43"/>
    </row>
    <row r="901" spans="3:15" ht="12.5" x14ac:dyDescent="0.25">
      <c r="C901" s="31"/>
      <c r="I901" s="43"/>
      <c r="J901" s="43"/>
      <c r="K901" s="43"/>
      <c r="N901" s="31"/>
      <c r="O901" s="43"/>
    </row>
    <row r="902" spans="3:15" ht="12.5" x14ac:dyDescent="0.25">
      <c r="C902" s="31"/>
      <c r="I902" s="43"/>
      <c r="J902" s="43"/>
      <c r="K902" s="43"/>
      <c r="N902" s="31"/>
      <c r="O902" s="43"/>
    </row>
    <row r="903" spans="3:15" ht="12.5" x14ac:dyDescent="0.25">
      <c r="C903" s="31"/>
      <c r="I903" s="43"/>
      <c r="J903" s="43"/>
      <c r="K903" s="43"/>
      <c r="N903" s="31"/>
      <c r="O903" s="43"/>
    </row>
    <row r="904" spans="3:15" ht="12.5" x14ac:dyDescent="0.25">
      <c r="C904" s="31"/>
      <c r="I904" s="43"/>
      <c r="J904" s="43"/>
      <c r="K904" s="43"/>
      <c r="N904" s="31"/>
      <c r="O904" s="43"/>
    </row>
    <row r="905" spans="3:15" ht="12.5" x14ac:dyDescent="0.25">
      <c r="C905" s="31"/>
      <c r="I905" s="43"/>
      <c r="J905" s="43"/>
      <c r="K905" s="43"/>
      <c r="N905" s="31"/>
      <c r="O905" s="43"/>
    </row>
    <row r="906" spans="3:15" ht="12.5" x14ac:dyDescent="0.25">
      <c r="C906" s="31"/>
      <c r="I906" s="43"/>
      <c r="J906" s="43"/>
      <c r="K906" s="43"/>
      <c r="N906" s="31"/>
      <c r="O906" s="43"/>
    </row>
    <row r="907" spans="3:15" ht="12.5" x14ac:dyDescent="0.25">
      <c r="C907" s="31"/>
      <c r="I907" s="43"/>
      <c r="J907" s="43"/>
      <c r="K907" s="43"/>
      <c r="N907" s="31"/>
      <c r="O907" s="43"/>
    </row>
    <row r="908" spans="3:15" ht="12.5" x14ac:dyDescent="0.25">
      <c r="C908" s="31"/>
      <c r="I908" s="43"/>
      <c r="J908" s="43"/>
      <c r="K908" s="43"/>
      <c r="N908" s="31"/>
      <c r="O908" s="43"/>
    </row>
    <row r="909" spans="3:15" ht="12.5" x14ac:dyDescent="0.25">
      <c r="C909" s="31"/>
      <c r="I909" s="43"/>
      <c r="J909" s="43"/>
      <c r="K909" s="43"/>
      <c r="N909" s="31"/>
      <c r="O909" s="43"/>
    </row>
    <row r="910" spans="3:15" ht="12.5" x14ac:dyDescent="0.25">
      <c r="C910" s="31"/>
      <c r="I910" s="43"/>
      <c r="J910" s="43"/>
      <c r="K910" s="43"/>
      <c r="N910" s="31"/>
      <c r="O910" s="43"/>
    </row>
    <row r="911" spans="3:15" ht="12.5" x14ac:dyDescent="0.25">
      <c r="C911" s="31"/>
      <c r="I911" s="43"/>
      <c r="J911" s="43"/>
      <c r="K911" s="43"/>
      <c r="N911" s="31"/>
      <c r="O911" s="43"/>
    </row>
    <row r="912" spans="3:15" ht="12.5" x14ac:dyDescent="0.25">
      <c r="C912" s="31"/>
      <c r="I912" s="43"/>
      <c r="J912" s="43"/>
      <c r="K912" s="43"/>
      <c r="N912" s="31"/>
      <c r="O912" s="43"/>
    </row>
    <row r="913" spans="3:15" ht="12.5" x14ac:dyDescent="0.25">
      <c r="C913" s="31"/>
      <c r="I913" s="43"/>
      <c r="J913" s="43"/>
      <c r="K913" s="43"/>
      <c r="N913" s="31"/>
      <c r="O913" s="43"/>
    </row>
    <row r="914" spans="3:15" ht="12.5" x14ac:dyDescent="0.25">
      <c r="C914" s="31"/>
      <c r="I914" s="43"/>
      <c r="J914" s="43"/>
      <c r="K914" s="43"/>
      <c r="N914" s="31"/>
      <c r="O914" s="43"/>
    </row>
    <row r="915" spans="3:15" ht="12.5" x14ac:dyDescent="0.25">
      <c r="C915" s="31"/>
      <c r="I915" s="43"/>
      <c r="J915" s="43"/>
      <c r="K915" s="43"/>
      <c r="N915" s="31"/>
      <c r="O915" s="43"/>
    </row>
    <row r="916" spans="3:15" ht="12.5" x14ac:dyDescent="0.25">
      <c r="C916" s="31"/>
      <c r="I916" s="43"/>
      <c r="J916" s="43"/>
      <c r="K916" s="43"/>
      <c r="N916" s="31"/>
      <c r="O916" s="43"/>
    </row>
    <row r="917" spans="3:15" ht="12.5" x14ac:dyDescent="0.25">
      <c r="C917" s="31"/>
      <c r="I917" s="43"/>
      <c r="J917" s="43"/>
      <c r="K917" s="43"/>
      <c r="N917" s="31"/>
      <c r="O917" s="43"/>
    </row>
    <row r="918" spans="3:15" ht="12.5" x14ac:dyDescent="0.25">
      <c r="C918" s="31"/>
      <c r="I918" s="43"/>
      <c r="J918" s="43"/>
      <c r="K918" s="43"/>
      <c r="N918" s="31"/>
      <c r="O918" s="43"/>
    </row>
    <row r="919" spans="3:15" ht="12.5" x14ac:dyDescent="0.25">
      <c r="C919" s="31"/>
      <c r="I919" s="43"/>
      <c r="J919" s="43"/>
      <c r="K919" s="43"/>
      <c r="N919" s="31"/>
      <c r="O919" s="43"/>
    </row>
    <row r="920" spans="3:15" ht="12.5" x14ac:dyDescent="0.25">
      <c r="C920" s="31"/>
      <c r="I920" s="43"/>
      <c r="J920" s="43"/>
      <c r="K920" s="43"/>
      <c r="N920" s="31"/>
      <c r="O920" s="43"/>
    </row>
    <row r="921" spans="3:15" ht="12.5" x14ac:dyDescent="0.25">
      <c r="C921" s="31"/>
      <c r="I921" s="43"/>
      <c r="J921" s="43"/>
      <c r="K921" s="43"/>
      <c r="N921" s="31"/>
      <c r="O921" s="43"/>
    </row>
    <row r="922" spans="3:15" ht="12.5" x14ac:dyDescent="0.25">
      <c r="C922" s="31"/>
      <c r="I922" s="43"/>
      <c r="J922" s="43"/>
      <c r="K922" s="43"/>
      <c r="N922" s="31"/>
      <c r="O922" s="43"/>
    </row>
    <row r="923" spans="3:15" ht="12.5" x14ac:dyDescent="0.25">
      <c r="C923" s="31"/>
      <c r="I923" s="43"/>
      <c r="J923" s="43"/>
      <c r="K923" s="43"/>
      <c r="N923" s="31"/>
      <c r="O923" s="43"/>
    </row>
    <row r="924" spans="3:15" ht="12.5" x14ac:dyDescent="0.25">
      <c r="C924" s="31"/>
      <c r="I924" s="43"/>
      <c r="J924" s="43"/>
      <c r="K924" s="43"/>
      <c r="N924" s="31"/>
      <c r="O924" s="43"/>
    </row>
    <row r="925" spans="3:15" ht="12.5" x14ac:dyDescent="0.25">
      <c r="C925" s="31"/>
      <c r="I925" s="43"/>
      <c r="J925" s="43"/>
      <c r="K925" s="43"/>
      <c r="N925" s="31"/>
      <c r="O925" s="43"/>
    </row>
    <row r="926" spans="3:15" ht="12.5" x14ac:dyDescent="0.25">
      <c r="C926" s="31"/>
      <c r="I926" s="43"/>
      <c r="J926" s="43"/>
      <c r="K926" s="43"/>
      <c r="N926" s="31"/>
      <c r="O926" s="43"/>
    </row>
    <row r="927" spans="3:15" ht="12.5" x14ac:dyDescent="0.25">
      <c r="C927" s="31"/>
      <c r="I927" s="43"/>
      <c r="J927" s="43"/>
      <c r="K927" s="43"/>
      <c r="N927" s="31"/>
      <c r="O927" s="43"/>
    </row>
    <row r="928" spans="3:15" ht="12.5" x14ac:dyDescent="0.25">
      <c r="C928" s="31"/>
      <c r="I928" s="43"/>
      <c r="J928" s="43"/>
      <c r="K928" s="43"/>
      <c r="N928" s="31"/>
      <c r="O928" s="43"/>
    </row>
    <row r="929" spans="3:15" ht="12.5" x14ac:dyDescent="0.25">
      <c r="C929" s="31"/>
      <c r="I929" s="43"/>
      <c r="J929" s="43"/>
      <c r="K929" s="43"/>
      <c r="N929" s="31"/>
      <c r="O929" s="43"/>
    </row>
    <row r="930" spans="3:15" ht="12.5" x14ac:dyDescent="0.25">
      <c r="C930" s="31"/>
      <c r="I930" s="43"/>
      <c r="J930" s="43"/>
      <c r="K930" s="43"/>
      <c r="N930" s="31"/>
      <c r="O930" s="43"/>
    </row>
    <row r="931" spans="3:15" ht="12.5" x14ac:dyDescent="0.25">
      <c r="C931" s="31"/>
      <c r="I931" s="43"/>
      <c r="J931" s="43"/>
      <c r="K931" s="43"/>
      <c r="N931" s="31"/>
      <c r="O931" s="43"/>
    </row>
    <row r="932" spans="3:15" ht="12.5" x14ac:dyDescent="0.25">
      <c r="C932" s="31"/>
      <c r="I932" s="43"/>
      <c r="J932" s="43"/>
      <c r="K932" s="43"/>
      <c r="N932" s="31"/>
      <c r="O932" s="43"/>
    </row>
    <row r="933" spans="3:15" ht="12.5" x14ac:dyDescent="0.25">
      <c r="C933" s="31"/>
      <c r="I933" s="43"/>
      <c r="J933" s="43"/>
      <c r="K933" s="43"/>
      <c r="N933" s="31"/>
      <c r="O933" s="43"/>
    </row>
    <row r="934" spans="3:15" ht="12.5" x14ac:dyDescent="0.25">
      <c r="C934" s="31"/>
      <c r="I934" s="43"/>
      <c r="J934" s="43"/>
      <c r="K934" s="43"/>
      <c r="N934" s="31"/>
      <c r="O934" s="43"/>
    </row>
    <row r="935" spans="3:15" ht="12.5" x14ac:dyDescent="0.25">
      <c r="C935" s="31"/>
      <c r="I935" s="43"/>
      <c r="J935" s="43"/>
      <c r="K935" s="43"/>
      <c r="N935" s="31"/>
      <c r="O935" s="43"/>
    </row>
    <row r="936" spans="3:15" ht="12.5" x14ac:dyDescent="0.25">
      <c r="C936" s="31"/>
      <c r="I936" s="43"/>
      <c r="J936" s="43"/>
      <c r="K936" s="43"/>
      <c r="N936" s="31"/>
      <c r="O936" s="43"/>
    </row>
    <row r="937" spans="3:15" ht="12.5" x14ac:dyDescent="0.25">
      <c r="C937" s="31"/>
      <c r="I937" s="43"/>
      <c r="J937" s="43"/>
      <c r="K937" s="43"/>
      <c r="N937" s="31"/>
      <c r="O937" s="43"/>
    </row>
    <row r="938" spans="3:15" ht="12.5" x14ac:dyDescent="0.25">
      <c r="C938" s="31"/>
      <c r="I938" s="43"/>
      <c r="J938" s="43"/>
      <c r="K938" s="43"/>
      <c r="N938" s="31"/>
      <c r="O938" s="43"/>
    </row>
    <row r="939" spans="3:15" ht="12.5" x14ac:dyDescent="0.25">
      <c r="C939" s="31"/>
      <c r="I939" s="43"/>
      <c r="J939" s="43"/>
      <c r="K939" s="43"/>
      <c r="N939" s="31"/>
      <c r="O939" s="43"/>
    </row>
    <row r="940" spans="3:15" ht="12.5" x14ac:dyDescent="0.25">
      <c r="C940" s="31"/>
      <c r="I940" s="43"/>
      <c r="J940" s="43"/>
      <c r="K940" s="43"/>
      <c r="N940" s="31"/>
      <c r="O940" s="43"/>
    </row>
    <row r="941" spans="3:15" ht="12.5" x14ac:dyDescent="0.25">
      <c r="C941" s="31"/>
      <c r="I941" s="43"/>
      <c r="J941" s="43"/>
      <c r="K941" s="43"/>
      <c r="N941" s="31"/>
      <c r="O941" s="43"/>
    </row>
    <row r="942" spans="3:15" ht="12.5" x14ac:dyDescent="0.25">
      <c r="C942" s="31"/>
      <c r="I942" s="43"/>
      <c r="J942" s="43"/>
      <c r="K942" s="43"/>
      <c r="N942" s="31"/>
      <c r="O942" s="43"/>
    </row>
    <row r="943" spans="3:15" ht="12.5" x14ac:dyDescent="0.25">
      <c r="C943" s="31"/>
      <c r="I943" s="43"/>
      <c r="J943" s="43"/>
      <c r="K943" s="43"/>
      <c r="N943" s="31"/>
      <c r="O943" s="43"/>
    </row>
    <row r="944" spans="3:15" ht="12.5" x14ac:dyDescent="0.25">
      <c r="C944" s="31"/>
      <c r="I944" s="43"/>
      <c r="J944" s="43"/>
      <c r="K944" s="43"/>
      <c r="N944" s="31"/>
      <c r="O944" s="43"/>
    </row>
    <row r="945" spans="3:15" ht="12.5" x14ac:dyDescent="0.25">
      <c r="C945" s="31"/>
      <c r="I945" s="43"/>
      <c r="J945" s="43"/>
      <c r="K945" s="43"/>
      <c r="N945" s="31"/>
      <c r="O945" s="43"/>
    </row>
    <row r="946" spans="3:15" ht="12.5" x14ac:dyDescent="0.25">
      <c r="C946" s="31"/>
      <c r="I946" s="43"/>
      <c r="J946" s="43"/>
      <c r="K946" s="43"/>
      <c r="N946" s="31"/>
      <c r="O946" s="43"/>
    </row>
    <row r="947" spans="3:15" ht="12.5" x14ac:dyDescent="0.25">
      <c r="C947" s="31"/>
      <c r="I947" s="43"/>
      <c r="J947" s="43"/>
      <c r="K947" s="43"/>
      <c r="N947" s="31"/>
      <c r="O947" s="43"/>
    </row>
    <row r="948" spans="3:15" ht="12.5" x14ac:dyDescent="0.25">
      <c r="C948" s="31"/>
      <c r="I948" s="43"/>
      <c r="J948" s="43"/>
      <c r="K948" s="43"/>
      <c r="N948" s="31"/>
      <c r="O948" s="43"/>
    </row>
    <row r="949" spans="3:15" ht="12.5" x14ac:dyDescent="0.25">
      <c r="C949" s="31"/>
      <c r="I949" s="43"/>
      <c r="J949" s="43"/>
      <c r="K949" s="43"/>
      <c r="N949" s="31"/>
      <c r="O949" s="43"/>
    </row>
    <row r="950" spans="3:15" ht="12.5" x14ac:dyDescent="0.25">
      <c r="C950" s="31"/>
      <c r="I950" s="43"/>
      <c r="J950" s="43"/>
      <c r="K950" s="43"/>
      <c r="N950" s="31"/>
      <c r="O950" s="43"/>
    </row>
    <row r="951" spans="3:15" ht="12.5" x14ac:dyDescent="0.25">
      <c r="C951" s="31"/>
      <c r="I951" s="43"/>
      <c r="J951" s="43"/>
      <c r="K951" s="43"/>
      <c r="N951" s="31"/>
      <c r="O951" s="43"/>
    </row>
    <row r="952" spans="3:15" ht="12.5" x14ac:dyDescent="0.25">
      <c r="C952" s="31"/>
      <c r="I952" s="43"/>
      <c r="J952" s="43"/>
      <c r="K952" s="43"/>
      <c r="N952" s="31"/>
      <c r="O952" s="43"/>
    </row>
    <row r="953" spans="3:15" ht="12.5" x14ac:dyDescent="0.25">
      <c r="C953" s="31"/>
      <c r="I953" s="43"/>
      <c r="J953" s="43"/>
      <c r="K953" s="43"/>
      <c r="N953" s="31"/>
      <c r="O953" s="43"/>
    </row>
    <row r="954" spans="3:15" ht="12.5" x14ac:dyDescent="0.25">
      <c r="C954" s="31"/>
      <c r="I954" s="43"/>
      <c r="J954" s="43"/>
      <c r="K954" s="43"/>
      <c r="N954" s="31"/>
      <c r="O954" s="43"/>
    </row>
    <row r="955" spans="3:15" ht="12.5" x14ac:dyDescent="0.25">
      <c r="C955" s="31"/>
      <c r="I955" s="43"/>
      <c r="J955" s="43"/>
      <c r="K955" s="43"/>
      <c r="N955" s="31"/>
      <c r="O955" s="43"/>
    </row>
    <row r="956" spans="3:15" ht="12.5" x14ac:dyDescent="0.25">
      <c r="C956" s="31"/>
      <c r="I956" s="43"/>
      <c r="J956" s="43"/>
      <c r="K956" s="43"/>
      <c r="N956" s="31"/>
      <c r="O956" s="43"/>
    </row>
    <row r="957" spans="3:15" ht="12.5" x14ac:dyDescent="0.25">
      <c r="C957" s="31"/>
      <c r="I957" s="43"/>
      <c r="J957" s="43"/>
      <c r="K957" s="43"/>
      <c r="N957" s="31"/>
      <c r="O957" s="43"/>
    </row>
    <row r="958" spans="3:15" ht="12.5" x14ac:dyDescent="0.25">
      <c r="C958" s="31"/>
      <c r="I958" s="43"/>
      <c r="J958" s="43"/>
      <c r="K958" s="43"/>
      <c r="N958" s="31"/>
      <c r="O958" s="43"/>
    </row>
    <row r="959" spans="3:15" ht="12.5" x14ac:dyDescent="0.25">
      <c r="C959" s="31"/>
      <c r="I959" s="43"/>
      <c r="J959" s="43"/>
      <c r="K959" s="43"/>
      <c r="N959" s="31"/>
      <c r="O959" s="43"/>
    </row>
    <row r="960" spans="3:15" ht="12.5" x14ac:dyDescent="0.25">
      <c r="C960" s="31"/>
      <c r="I960" s="43"/>
      <c r="J960" s="43"/>
      <c r="K960" s="43"/>
      <c r="N960" s="31"/>
      <c r="O960" s="43"/>
    </row>
    <row r="961" spans="3:15" ht="12.5" x14ac:dyDescent="0.25">
      <c r="C961" s="31"/>
      <c r="I961" s="43"/>
      <c r="J961" s="43"/>
      <c r="K961" s="43"/>
      <c r="N961" s="31"/>
      <c r="O961" s="43"/>
    </row>
    <row r="962" spans="3:15" ht="12.5" x14ac:dyDescent="0.25">
      <c r="C962" s="31"/>
      <c r="I962" s="43"/>
      <c r="J962" s="43"/>
      <c r="K962" s="43"/>
      <c r="N962" s="31"/>
      <c r="O962" s="43"/>
    </row>
    <row r="963" spans="3:15" ht="12.5" x14ac:dyDescent="0.25">
      <c r="C963" s="31"/>
      <c r="I963" s="43"/>
      <c r="J963" s="43"/>
      <c r="K963" s="43"/>
      <c r="N963" s="31"/>
      <c r="O963" s="43"/>
    </row>
    <row r="964" spans="3:15" ht="12.5" x14ac:dyDescent="0.25">
      <c r="C964" s="31"/>
      <c r="I964" s="43"/>
      <c r="J964" s="43"/>
      <c r="K964" s="43"/>
      <c r="N964" s="31"/>
      <c r="O964" s="43"/>
    </row>
    <row r="965" spans="3:15" ht="12.5" x14ac:dyDescent="0.25">
      <c r="C965" s="31"/>
      <c r="I965" s="43"/>
      <c r="J965" s="43"/>
      <c r="K965" s="43"/>
      <c r="N965" s="31"/>
      <c r="O965" s="43"/>
    </row>
    <row r="966" spans="3:15" ht="12.5" x14ac:dyDescent="0.25">
      <c r="C966" s="31"/>
      <c r="I966" s="43"/>
      <c r="J966" s="43"/>
      <c r="K966" s="43"/>
      <c r="N966" s="31"/>
      <c r="O966" s="43"/>
    </row>
    <row r="967" spans="3:15" ht="12.5" x14ac:dyDescent="0.25">
      <c r="C967" s="31"/>
      <c r="I967" s="43"/>
      <c r="J967" s="43"/>
      <c r="K967" s="43"/>
      <c r="N967" s="31"/>
      <c r="O967" s="43"/>
    </row>
    <row r="968" spans="3:15" ht="12.5" x14ac:dyDescent="0.25">
      <c r="C968" s="31"/>
      <c r="I968" s="43"/>
      <c r="J968" s="43"/>
      <c r="K968" s="43"/>
      <c r="N968" s="31"/>
      <c r="O968" s="43"/>
    </row>
    <row r="969" spans="3:15" ht="12.5" x14ac:dyDescent="0.25">
      <c r="C969" s="31"/>
      <c r="I969" s="43"/>
      <c r="J969" s="43"/>
      <c r="K969" s="43"/>
      <c r="N969" s="31"/>
      <c r="O969" s="43"/>
    </row>
    <row r="970" spans="3:15" ht="12.5" x14ac:dyDescent="0.25">
      <c r="C970" s="31"/>
      <c r="I970" s="43"/>
      <c r="J970" s="43"/>
      <c r="K970" s="43"/>
      <c r="N970" s="31"/>
      <c r="O970" s="43"/>
    </row>
    <row r="971" spans="3:15" ht="12.5" x14ac:dyDescent="0.25">
      <c r="C971" s="31"/>
      <c r="I971" s="43"/>
      <c r="J971" s="43"/>
      <c r="K971" s="43"/>
      <c r="N971" s="31"/>
      <c r="O971" s="43"/>
    </row>
    <row r="972" spans="3:15" ht="12.5" x14ac:dyDescent="0.25">
      <c r="C972" s="31"/>
      <c r="I972" s="43"/>
      <c r="J972" s="43"/>
      <c r="K972" s="43"/>
      <c r="N972" s="31"/>
      <c r="O972" s="43"/>
    </row>
    <row r="973" spans="3:15" ht="12.5" x14ac:dyDescent="0.25">
      <c r="C973" s="31"/>
      <c r="I973" s="43"/>
      <c r="J973" s="43"/>
      <c r="K973" s="43"/>
      <c r="N973" s="31"/>
      <c r="O973" s="43"/>
    </row>
    <row r="974" spans="3:15" ht="12.5" x14ac:dyDescent="0.25">
      <c r="C974" s="31"/>
      <c r="I974" s="43"/>
      <c r="J974" s="43"/>
      <c r="K974" s="43"/>
      <c r="N974" s="31"/>
      <c r="O974" s="43"/>
    </row>
    <row r="975" spans="3:15" ht="12.5" x14ac:dyDescent="0.25">
      <c r="C975" s="31"/>
      <c r="I975" s="43"/>
      <c r="J975" s="43"/>
      <c r="K975" s="43"/>
      <c r="N975" s="31"/>
      <c r="O975" s="43"/>
    </row>
    <row r="976" spans="3:15" ht="12.5" x14ac:dyDescent="0.25">
      <c r="C976" s="31"/>
      <c r="I976" s="43"/>
      <c r="J976" s="43"/>
      <c r="K976" s="43"/>
      <c r="N976" s="31"/>
      <c r="O976" s="43"/>
    </row>
    <row r="977" spans="3:15" ht="12.5" x14ac:dyDescent="0.25">
      <c r="C977" s="31"/>
      <c r="I977" s="43"/>
      <c r="J977" s="43"/>
      <c r="K977" s="43"/>
      <c r="N977" s="31"/>
      <c r="O977" s="43"/>
    </row>
    <row r="978" spans="3:15" ht="12.5" x14ac:dyDescent="0.25">
      <c r="C978" s="31"/>
      <c r="I978" s="43"/>
      <c r="J978" s="43"/>
      <c r="K978" s="43"/>
      <c r="N978" s="31"/>
      <c r="O978" s="43"/>
    </row>
  </sheetData>
  <mergeCells count="20">
    <mergeCell ref="N25:O25"/>
    <mergeCell ref="N26:O26"/>
    <mergeCell ref="B7:K7"/>
    <mergeCell ref="B8:K8"/>
    <mergeCell ref="B9:K9"/>
    <mergeCell ref="B10:K10"/>
    <mergeCell ref="N24:O24"/>
    <mergeCell ref="N19:O19"/>
    <mergeCell ref="N20:O20"/>
    <mergeCell ref="N21:O21"/>
    <mergeCell ref="N22:O22"/>
    <mergeCell ref="N23:O23"/>
    <mergeCell ref="A11:A16"/>
    <mergeCell ref="B11:K16"/>
    <mergeCell ref="B6:K6"/>
    <mergeCell ref="B1:K1"/>
    <mergeCell ref="B2:K2"/>
    <mergeCell ref="B3:K3"/>
    <mergeCell ref="B4:K4"/>
    <mergeCell ref="B5:K5"/>
  </mergeCells>
  <pageMargins left="0.7" right="0.7" top="0.75" bottom="0.75" header="0.3" footer="0.3"/>
  <pageSetup orientation="portrait" horizontalDpi="360" verticalDpi="36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90"/>
  <sheetViews>
    <sheetView topLeftCell="A19" workbookViewId="0">
      <selection activeCell="P24" sqref="P24"/>
    </sheetView>
  </sheetViews>
  <sheetFormatPr defaultRowHeight="12.5" x14ac:dyDescent="0.25"/>
  <cols>
    <col min="2" max="2" width="20" bestFit="1" customWidth="1"/>
    <col min="4" max="4" width="10.54296875" bestFit="1" customWidth="1"/>
    <col min="5" max="5" width="13.1796875" bestFit="1" customWidth="1"/>
    <col min="6" max="6" width="12.7265625" bestFit="1" customWidth="1"/>
    <col min="7" max="7" width="11.54296875" bestFit="1" customWidth="1"/>
    <col min="8" max="8" width="4.1796875" bestFit="1" customWidth="1"/>
    <col min="9" max="9" width="16" bestFit="1" customWidth="1"/>
    <col min="11" max="11" width="10.54296875" bestFit="1" customWidth="1"/>
    <col min="13" max="13" width="12.7265625" bestFit="1" customWidth="1"/>
    <col min="14" max="14" width="12.26953125" bestFit="1" customWidth="1"/>
    <col min="15" max="15" width="4.453125" bestFit="1" customWidth="1"/>
    <col min="20" max="20" width="3" bestFit="1" customWidth="1"/>
    <col min="21" max="21" width="3" customWidth="1"/>
  </cols>
  <sheetData>
    <row r="1" spans="1:22" ht="18.5" x14ac:dyDescent="0.45">
      <c r="A1" s="170" t="s">
        <v>225</v>
      </c>
      <c r="B1" s="170"/>
      <c r="C1" s="170"/>
      <c r="D1" s="170"/>
      <c r="E1" s="170"/>
      <c r="F1" s="170"/>
    </row>
    <row r="2" spans="1:22" ht="18.5" x14ac:dyDescent="0.45">
      <c r="A2" s="170" t="s">
        <v>226</v>
      </c>
      <c r="B2" s="170"/>
      <c r="C2" s="170"/>
      <c r="D2" s="170"/>
      <c r="E2" s="170"/>
      <c r="F2" s="170"/>
    </row>
    <row r="3" spans="1:22" ht="18.5" x14ac:dyDescent="0.45">
      <c r="A3" s="170">
        <v>2022</v>
      </c>
      <c r="B3" s="170"/>
      <c r="C3" s="170"/>
      <c r="D3" s="170"/>
      <c r="E3" s="170"/>
      <c r="F3" s="170"/>
    </row>
    <row r="4" spans="1:22" ht="16.5" customHeight="1" x14ac:dyDescent="0.35">
      <c r="A4" s="63" t="s">
        <v>227</v>
      </c>
      <c r="B4" s="64"/>
      <c r="D4" s="65"/>
      <c r="E4" s="65"/>
      <c r="H4" s="64"/>
      <c r="Q4" s="64" t="s">
        <v>228</v>
      </c>
    </row>
    <row r="5" spans="1:22" ht="26" x14ac:dyDescent="0.25">
      <c r="A5" s="66" t="s">
        <v>229</v>
      </c>
      <c r="B5" s="66" t="s">
        <v>230</v>
      </c>
      <c r="C5" s="66" t="s">
        <v>231</v>
      </c>
      <c r="D5" s="67" t="s">
        <v>232</v>
      </c>
      <c r="E5" s="67" t="s">
        <v>233</v>
      </c>
      <c r="F5" s="68" t="s">
        <v>234</v>
      </c>
      <c r="H5" s="66" t="s">
        <v>229</v>
      </c>
      <c r="I5" s="66" t="s">
        <v>136</v>
      </c>
      <c r="J5" s="66" t="s">
        <v>231</v>
      </c>
      <c r="K5" s="67" t="s">
        <v>232</v>
      </c>
      <c r="L5" s="67" t="s">
        <v>233</v>
      </c>
      <c r="M5" s="68" t="s">
        <v>234</v>
      </c>
      <c r="N5" s="68" t="s">
        <v>235</v>
      </c>
      <c r="O5" s="68" t="s">
        <v>236</v>
      </c>
    </row>
    <row r="6" spans="1:22" ht="14.5" x14ac:dyDescent="0.25">
      <c r="A6" s="69">
        <v>1</v>
      </c>
      <c r="B6" s="105" t="s">
        <v>318</v>
      </c>
      <c r="C6" s="69" t="s">
        <v>237</v>
      </c>
      <c r="D6" s="70">
        <v>60</v>
      </c>
      <c r="E6" s="70">
        <v>0</v>
      </c>
      <c r="F6" s="71">
        <f>D6*E6</f>
        <v>0</v>
      </c>
      <c r="H6" s="72">
        <v>1</v>
      </c>
      <c r="I6" s="73" t="s">
        <v>307</v>
      </c>
      <c r="J6" s="74" t="s">
        <v>174</v>
      </c>
      <c r="K6" s="70">
        <f>V11</f>
        <v>955000</v>
      </c>
      <c r="L6" s="70"/>
      <c r="M6" s="71">
        <f t="shared" ref="M6:M35" si="0">K6*L6</f>
        <v>0</v>
      </c>
      <c r="N6" s="71">
        <f>M6/O6</f>
        <v>0</v>
      </c>
      <c r="O6" s="71">
        <v>12</v>
      </c>
      <c r="R6" t="s">
        <v>238</v>
      </c>
      <c r="S6">
        <v>25000</v>
      </c>
      <c r="T6">
        <v>12</v>
      </c>
      <c r="U6">
        <v>1</v>
      </c>
      <c r="V6">
        <f>S6*U6</f>
        <v>25000</v>
      </c>
    </row>
    <row r="7" spans="1:22" ht="14.5" x14ac:dyDescent="0.35">
      <c r="A7" s="75">
        <v>2</v>
      </c>
      <c r="B7" s="106" t="s">
        <v>239</v>
      </c>
      <c r="C7" s="75" t="s">
        <v>206</v>
      </c>
      <c r="D7" s="70">
        <v>15500</v>
      </c>
      <c r="E7" s="70">
        <v>0</v>
      </c>
      <c r="F7" s="71">
        <f t="shared" ref="F7:F11" si="1">D7*E7</f>
        <v>0</v>
      </c>
      <c r="H7" s="72">
        <v>2</v>
      </c>
      <c r="I7" s="73" t="s">
        <v>240</v>
      </c>
      <c r="J7" s="77" t="s">
        <v>174</v>
      </c>
      <c r="K7" s="70">
        <v>45000</v>
      </c>
      <c r="L7" s="70"/>
      <c r="M7" s="71">
        <f t="shared" si="0"/>
        <v>0</v>
      </c>
      <c r="N7" s="71">
        <f>M7/O7</f>
        <v>0</v>
      </c>
      <c r="O7" s="71">
        <v>12</v>
      </c>
      <c r="R7" t="s">
        <v>241</v>
      </c>
      <c r="S7">
        <v>150000</v>
      </c>
      <c r="T7">
        <v>12</v>
      </c>
      <c r="U7">
        <v>3</v>
      </c>
      <c r="V7">
        <f t="shared" ref="V7:V9" si="2">S7*U7</f>
        <v>450000</v>
      </c>
    </row>
    <row r="8" spans="1:22" ht="14.5" x14ac:dyDescent="0.25">
      <c r="A8" s="78">
        <v>3</v>
      </c>
      <c r="B8" s="106" t="s">
        <v>319</v>
      </c>
      <c r="C8" s="75" t="s">
        <v>321</v>
      </c>
      <c r="D8" s="70">
        <v>4000</v>
      </c>
      <c r="E8" s="70">
        <v>0</v>
      </c>
      <c r="F8" s="71">
        <f t="shared" si="1"/>
        <v>0</v>
      </c>
      <c r="H8" s="72">
        <v>3</v>
      </c>
      <c r="I8" s="79" t="s">
        <v>242</v>
      </c>
      <c r="J8" s="72" t="s">
        <v>174</v>
      </c>
      <c r="K8" s="70">
        <v>16000</v>
      </c>
      <c r="L8" s="70"/>
      <c r="M8" s="71">
        <f t="shared" si="0"/>
        <v>0</v>
      </c>
      <c r="N8" s="71">
        <f t="shared" ref="N8:N35" si="3">M8/O8</f>
        <v>0</v>
      </c>
      <c r="O8" s="71">
        <v>6</v>
      </c>
      <c r="R8" t="s">
        <v>243</v>
      </c>
      <c r="S8">
        <v>110000</v>
      </c>
      <c r="T8">
        <v>12</v>
      </c>
      <c r="U8">
        <v>3</v>
      </c>
      <c r="V8">
        <f t="shared" si="2"/>
        <v>330000</v>
      </c>
    </row>
    <row r="9" spans="1:22" ht="14.5" x14ac:dyDescent="0.25">
      <c r="A9" s="69">
        <v>4</v>
      </c>
      <c r="B9" s="106" t="s">
        <v>176</v>
      </c>
      <c r="C9" s="75" t="s">
        <v>237</v>
      </c>
      <c r="D9" s="70">
        <v>95</v>
      </c>
      <c r="E9" s="70">
        <v>0</v>
      </c>
      <c r="F9" s="71">
        <f t="shared" si="1"/>
        <v>0</v>
      </c>
      <c r="H9" s="72">
        <v>4</v>
      </c>
      <c r="I9" s="73" t="s">
        <v>244</v>
      </c>
      <c r="J9" s="74" t="s">
        <v>174</v>
      </c>
      <c r="K9" s="70">
        <v>135000</v>
      </c>
      <c r="L9" s="70"/>
      <c r="M9" s="71">
        <f t="shared" si="0"/>
        <v>0</v>
      </c>
      <c r="N9" s="71">
        <f t="shared" si="3"/>
        <v>0</v>
      </c>
      <c r="O9" s="71">
        <v>12</v>
      </c>
      <c r="R9" t="s">
        <v>245</v>
      </c>
      <c r="S9">
        <v>150000</v>
      </c>
      <c r="T9">
        <v>12</v>
      </c>
      <c r="U9">
        <v>1</v>
      </c>
      <c r="V9">
        <f t="shared" si="2"/>
        <v>150000</v>
      </c>
    </row>
    <row r="10" spans="1:22" ht="14.5" x14ac:dyDescent="0.25">
      <c r="A10" s="69">
        <v>5</v>
      </c>
      <c r="B10" s="106" t="s">
        <v>246</v>
      </c>
      <c r="C10" s="78" t="s">
        <v>237</v>
      </c>
      <c r="D10" s="70">
        <v>33</v>
      </c>
      <c r="E10" s="70">
        <v>0</v>
      </c>
      <c r="F10" s="71">
        <f t="shared" si="1"/>
        <v>0</v>
      </c>
      <c r="H10" s="72">
        <v>5</v>
      </c>
      <c r="I10" s="73" t="s">
        <v>247</v>
      </c>
      <c r="J10" s="74" t="s">
        <v>174</v>
      </c>
      <c r="K10" s="70">
        <v>2300</v>
      </c>
      <c r="L10" s="70"/>
      <c r="M10" s="71">
        <f t="shared" si="0"/>
        <v>0</v>
      </c>
      <c r="N10" s="71">
        <f t="shared" si="3"/>
        <v>0</v>
      </c>
      <c r="O10" s="71">
        <v>6</v>
      </c>
    </row>
    <row r="11" spans="1:22" ht="14.5" x14ac:dyDescent="0.25">
      <c r="A11" s="69">
        <v>6</v>
      </c>
      <c r="B11" s="106" t="s">
        <v>320</v>
      </c>
      <c r="C11" s="81" t="s">
        <v>237</v>
      </c>
      <c r="D11" s="70">
        <v>65</v>
      </c>
      <c r="E11" s="70">
        <v>0</v>
      </c>
      <c r="F11" s="71">
        <f t="shared" si="1"/>
        <v>0</v>
      </c>
      <c r="H11" s="72">
        <v>6</v>
      </c>
      <c r="I11" s="73" t="s">
        <v>248</v>
      </c>
      <c r="J11" s="74" t="s">
        <v>174</v>
      </c>
      <c r="K11" s="70">
        <v>4000</v>
      </c>
      <c r="L11" s="70"/>
      <c r="M11" s="71">
        <f t="shared" si="0"/>
        <v>0</v>
      </c>
      <c r="N11" s="71">
        <f t="shared" si="3"/>
        <v>0</v>
      </c>
      <c r="O11" s="71">
        <v>6</v>
      </c>
      <c r="R11" t="s">
        <v>249</v>
      </c>
      <c r="S11">
        <f>SUM(S6:S10)</f>
        <v>435000</v>
      </c>
      <c r="V11">
        <f>SUM(V6:V10)</f>
        <v>955000</v>
      </c>
    </row>
    <row r="12" spans="1:22" ht="14.5" x14ac:dyDescent="0.25">
      <c r="A12" s="81"/>
      <c r="B12" s="80"/>
      <c r="C12" s="81"/>
      <c r="D12" s="70"/>
      <c r="E12" s="70"/>
      <c r="F12" s="71"/>
      <c r="H12" s="72">
        <v>7</v>
      </c>
      <c r="I12" s="73" t="s">
        <v>306</v>
      </c>
      <c r="J12" s="74" t="s">
        <v>174</v>
      </c>
      <c r="K12" s="70">
        <v>2500000</v>
      </c>
      <c r="L12" s="70"/>
      <c r="M12" s="71">
        <f t="shared" si="0"/>
        <v>0</v>
      </c>
      <c r="N12" s="71">
        <f t="shared" si="3"/>
        <v>0</v>
      </c>
      <c r="O12" s="71">
        <v>24</v>
      </c>
    </row>
    <row r="13" spans="1:22" ht="14.5" x14ac:dyDescent="0.35">
      <c r="A13" s="171" t="s">
        <v>250</v>
      </c>
      <c r="B13" s="172"/>
      <c r="C13" s="172"/>
      <c r="D13" s="172"/>
      <c r="E13" s="173"/>
      <c r="F13" s="82">
        <f>SUM(F6:F12)</f>
        <v>0</v>
      </c>
      <c r="H13" s="72">
        <v>8</v>
      </c>
      <c r="I13" s="73" t="s">
        <v>252</v>
      </c>
      <c r="J13" s="74" t="s">
        <v>174</v>
      </c>
      <c r="K13" s="70">
        <v>50000</v>
      </c>
      <c r="L13" s="70"/>
      <c r="M13" s="71">
        <f t="shared" si="0"/>
        <v>0</v>
      </c>
      <c r="N13" s="71">
        <f t="shared" si="3"/>
        <v>0</v>
      </c>
      <c r="O13" s="71">
        <v>12</v>
      </c>
    </row>
    <row r="14" spans="1:22" ht="17.25" customHeight="1" x14ac:dyDescent="0.25">
      <c r="A14" s="66" t="s">
        <v>229</v>
      </c>
      <c r="B14" s="66" t="s">
        <v>251</v>
      </c>
      <c r="C14" s="66" t="s">
        <v>231</v>
      </c>
      <c r="D14" s="67" t="s">
        <v>232</v>
      </c>
      <c r="E14" s="67" t="s">
        <v>233</v>
      </c>
      <c r="F14" s="68" t="s">
        <v>234</v>
      </c>
      <c r="H14" s="72">
        <v>9</v>
      </c>
      <c r="I14" s="84" t="s">
        <v>253</v>
      </c>
      <c r="J14" s="85" t="s">
        <v>140</v>
      </c>
      <c r="K14" s="86">
        <v>35000</v>
      </c>
      <c r="L14" s="70"/>
      <c r="M14" s="71">
        <f t="shared" si="0"/>
        <v>0</v>
      </c>
      <c r="N14" s="71">
        <f t="shared" si="3"/>
        <v>0</v>
      </c>
      <c r="O14" s="71">
        <v>10</v>
      </c>
    </row>
    <row r="15" spans="1:22" ht="14.5" x14ac:dyDescent="0.25">
      <c r="A15" s="69">
        <v>1</v>
      </c>
      <c r="B15" s="83" t="s">
        <v>166</v>
      </c>
      <c r="C15" s="75" t="s">
        <v>237</v>
      </c>
      <c r="D15" s="70">
        <v>80</v>
      </c>
      <c r="E15" s="70">
        <v>0</v>
      </c>
      <c r="F15" s="71">
        <f>D15*E15</f>
        <v>0</v>
      </c>
      <c r="H15" s="72">
        <v>10</v>
      </c>
      <c r="I15" s="73" t="s">
        <v>255</v>
      </c>
      <c r="J15" s="74" t="s">
        <v>174</v>
      </c>
      <c r="K15" s="70">
        <v>38000</v>
      </c>
      <c r="L15" s="70"/>
      <c r="M15" s="71">
        <f t="shared" si="0"/>
        <v>0</v>
      </c>
      <c r="N15" s="71">
        <f t="shared" si="3"/>
        <v>0</v>
      </c>
      <c r="O15" s="71">
        <v>12</v>
      </c>
    </row>
    <row r="16" spans="1:22" ht="14.5" x14ac:dyDescent="0.35">
      <c r="A16" s="81">
        <v>2</v>
      </c>
      <c r="B16" s="76" t="s">
        <v>322</v>
      </c>
      <c r="C16" s="75" t="s">
        <v>258</v>
      </c>
      <c r="D16" s="70">
        <v>50</v>
      </c>
      <c r="E16" s="70">
        <v>0</v>
      </c>
      <c r="F16" s="71">
        <f t="shared" ref="F16:F28" si="4">D16*E16</f>
        <v>0</v>
      </c>
      <c r="H16" s="72">
        <v>11</v>
      </c>
      <c r="I16" s="87" t="s">
        <v>257</v>
      </c>
      <c r="J16" s="72" t="s">
        <v>174</v>
      </c>
      <c r="K16" s="70">
        <v>35000</v>
      </c>
      <c r="L16" s="70"/>
      <c r="M16" s="71">
        <f t="shared" si="0"/>
        <v>0</v>
      </c>
      <c r="N16" s="71">
        <f t="shared" si="3"/>
        <v>0</v>
      </c>
      <c r="O16" s="71">
        <v>10</v>
      </c>
    </row>
    <row r="17" spans="1:15" ht="14.5" x14ac:dyDescent="0.25">
      <c r="A17" s="81">
        <v>3</v>
      </c>
      <c r="B17" s="80" t="s">
        <v>254</v>
      </c>
      <c r="C17" s="81" t="s">
        <v>237</v>
      </c>
      <c r="D17" s="70">
        <v>1925</v>
      </c>
      <c r="E17" s="70">
        <v>0</v>
      </c>
      <c r="F17" s="71">
        <f t="shared" si="4"/>
        <v>0</v>
      </c>
      <c r="H17" s="72">
        <v>12</v>
      </c>
      <c r="I17" s="73" t="s">
        <v>259</v>
      </c>
      <c r="J17" s="74" t="s">
        <v>140</v>
      </c>
      <c r="K17" s="70">
        <v>65000</v>
      </c>
      <c r="L17" s="70"/>
      <c r="M17" s="71">
        <f t="shared" si="0"/>
        <v>0</v>
      </c>
      <c r="N17" s="71">
        <f t="shared" si="3"/>
        <v>0</v>
      </c>
      <c r="O17" s="71">
        <v>24</v>
      </c>
    </row>
    <row r="18" spans="1:15" ht="14.5" x14ac:dyDescent="0.25">
      <c r="A18" s="69">
        <v>4</v>
      </c>
      <c r="B18" s="76" t="s">
        <v>323</v>
      </c>
      <c r="C18" s="75" t="s">
        <v>237</v>
      </c>
      <c r="D18" s="70">
        <v>60</v>
      </c>
      <c r="E18" s="70">
        <v>0</v>
      </c>
      <c r="F18" s="71">
        <f t="shared" si="4"/>
        <v>0</v>
      </c>
      <c r="H18" s="72">
        <v>13</v>
      </c>
      <c r="I18" s="73" t="s">
        <v>260</v>
      </c>
      <c r="J18" s="74" t="s">
        <v>174</v>
      </c>
      <c r="K18" s="70">
        <v>38300</v>
      </c>
      <c r="L18" s="70"/>
      <c r="M18" s="71">
        <f t="shared" si="0"/>
        <v>0</v>
      </c>
      <c r="N18" s="71">
        <f t="shared" si="3"/>
        <v>0</v>
      </c>
      <c r="O18" s="71">
        <v>6</v>
      </c>
    </row>
    <row r="19" spans="1:15" ht="14.5" x14ac:dyDescent="0.25">
      <c r="A19" s="81">
        <v>5</v>
      </c>
      <c r="B19" s="80" t="s">
        <v>256</v>
      </c>
      <c r="C19" s="81" t="s">
        <v>206</v>
      </c>
      <c r="D19" s="70">
        <v>130000</v>
      </c>
      <c r="E19" s="70">
        <v>0</v>
      </c>
      <c r="F19" s="71">
        <f t="shared" si="4"/>
        <v>0</v>
      </c>
      <c r="H19" s="72">
        <v>14</v>
      </c>
      <c r="I19" s="73" t="s">
        <v>261</v>
      </c>
      <c r="J19" s="74" t="s">
        <v>174</v>
      </c>
      <c r="K19" s="88">
        <v>350</v>
      </c>
      <c r="L19" s="70"/>
      <c r="M19" s="71">
        <f t="shared" si="0"/>
        <v>0</v>
      </c>
      <c r="N19" s="71">
        <f t="shared" si="3"/>
        <v>0</v>
      </c>
      <c r="O19" s="71">
        <v>1</v>
      </c>
    </row>
    <row r="20" spans="1:15" ht="14.5" x14ac:dyDescent="0.25">
      <c r="A20" s="81">
        <v>6</v>
      </c>
      <c r="B20" s="76" t="s">
        <v>199</v>
      </c>
      <c r="C20" s="75" t="s">
        <v>258</v>
      </c>
      <c r="D20" s="70">
        <v>550</v>
      </c>
      <c r="E20" s="70">
        <v>0</v>
      </c>
      <c r="F20" s="71">
        <f t="shared" si="4"/>
        <v>0</v>
      </c>
      <c r="H20" s="72">
        <v>15</v>
      </c>
      <c r="I20" s="73" t="s">
        <v>263</v>
      </c>
      <c r="J20" s="74" t="s">
        <v>140</v>
      </c>
      <c r="K20" s="103">
        <v>90000</v>
      </c>
      <c r="L20" s="70"/>
      <c r="M20" s="71">
        <f t="shared" si="0"/>
        <v>0</v>
      </c>
      <c r="N20" s="71">
        <f t="shared" si="3"/>
        <v>0</v>
      </c>
      <c r="O20" s="71">
        <v>12</v>
      </c>
    </row>
    <row r="21" spans="1:15" ht="14.5" x14ac:dyDescent="0.25">
      <c r="A21" s="69">
        <v>7</v>
      </c>
      <c r="B21" s="76" t="s">
        <v>324</v>
      </c>
      <c r="C21" s="75" t="s">
        <v>237</v>
      </c>
      <c r="D21" s="70">
        <v>300</v>
      </c>
      <c r="E21" s="70">
        <v>0</v>
      </c>
      <c r="F21" s="71">
        <f t="shared" si="4"/>
        <v>0</v>
      </c>
      <c r="H21" s="72">
        <v>16</v>
      </c>
      <c r="I21" s="73" t="s">
        <v>264</v>
      </c>
      <c r="J21" s="74" t="s">
        <v>265</v>
      </c>
      <c r="K21" s="103">
        <v>25000</v>
      </c>
      <c r="L21" s="70"/>
      <c r="M21" s="71">
        <f t="shared" si="0"/>
        <v>0</v>
      </c>
      <c r="N21" s="71">
        <f t="shared" si="3"/>
        <v>0</v>
      </c>
      <c r="O21" s="71">
        <v>2</v>
      </c>
    </row>
    <row r="22" spans="1:15" ht="14.5" x14ac:dyDescent="0.25">
      <c r="A22" s="81">
        <v>8</v>
      </c>
      <c r="B22" s="80" t="s">
        <v>325</v>
      </c>
      <c r="C22" s="75" t="s">
        <v>237</v>
      </c>
      <c r="D22" s="70">
        <v>532</v>
      </c>
      <c r="E22" s="70">
        <v>0</v>
      </c>
      <c r="F22" s="71">
        <f t="shared" si="4"/>
        <v>0</v>
      </c>
      <c r="H22" s="72">
        <v>17</v>
      </c>
      <c r="I22" s="73" t="s">
        <v>266</v>
      </c>
      <c r="J22" s="74" t="s">
        <v>140</v>
      </c>
      <c r="K22" s="103">
        <v>35000</v>
      </c>
      <c r="L22" s="70"/>
      <c r="M22" s="71">
        <f t="shared" si="0"/>
        <v>0</v>
      </c>
      <c r="N22" s="71">
        <f t="shared" si="3"/>
        <v>0</v>
      </c>
      <c r="O22" s="71">
        <v>6</v>
      </c>
    </row>
    <row r="23" spans="1:15" ht="14.5" x14ac:dyDescent="0.25">
      <c r="A23" s="81">
        <v>9</v>
      </c>
      <c r="B23" s="76" t="s">
        <v>262</v>
      </c>
      <c r="C23" s="75" t="s">
        <v>258</v>
      </c>
      <c r="D23" s="70">
        <v>325</v>
      </c>
      <c r="E23" s="70">
        <v>0</v>
      </c>
      <c r="F23" s="71">
        <f t="shared" si="4"/>
        <v>0</v>
      </c>
      <c r="H23" s="72">
        <v>18</v>
      </c>
      <c r="I23" s="73" t="s">
        <v>267</v>
      </c>
      <c r="J23" s="74" t="s">
        <v>140</v>
      </c>
      <c r="K23" s="103">
        <v>78000</v>
      </c>
      <c r="L23" s="70"/>
      <c r="M23" s="71">
        <f t="shared" si="0"/>
        <v>0</v>
      </c>
      <c r="N23" s="71">
        <f t="shared" si="3"/>
        <v>0</v>
      </c>
      <c r="O23" s="71">
        <v>6</v>
      </c>
    </row>
    <row r="24" spans="1:15" ht="14.5" x14ac:dyDescent="0.25">
      <c r="A24" s="69">
        <v>10</v>
      </c>
      <c r="B24" s="76" t="s">
        <v>326</v>
      </c>
      <c r="C24" s="75" t="s">
        <v>258</v>
      </c>
      <c r="D24" s="70">
        <v>726</v>
      </c>
      <c r="E24" s="70">
        <v>0</v>
      </c>
      <c r="F24" s="71">
        <f t="shared" si="4"/>
        <v>0</v>
      </c>
      <c r="H24" s="72">
        <v>19</v>
      </c>
      <c r="I24" s="73" t="s">
        <v>269</v>
      </c>
      <c r="J24" s="74" t="s">
        <v>174</v>
      </c>
      <c r="K24" s="103">
        <v>20000</v>
      </c>
      <c r="L24" s="70"/>
      <c r="M24" s="71">
        <f t="shared" si="0"/>
        <v>0</v>
      </c>
      <c r="N24" s="71">
        <f t="shared" si="3"/>
        <v>0</v>
      </c>
      <c r="O24" s="71">
        <v>1</v>
      </c>
    </row>
    <row r="25" spans="1:15" ht="14.5" x14ac:dyDescent="0.25">
      <c r="A25" s="81">
        <v>11</v>
      </c>
      <c r="B25" s="76" t="s">
        <v>327</v>
      </c>
      <c r="C25" s="75" t="s">
        <v>258</v>
      </c>
      <c r="D25" s="70">
        <v>150</v>
      </c>
      <c r="E25" s="70">
        <v>0</v>
      </c>
      <c r="F25" s="71">
        <f t="shared" si="4"/>
        <v>0</v>
      </c>
      <c r="H25" s="72">
        <v>20</v>
      </c>
      <c r="I25" s="73" t="s">
        <v>270</v>
      </c>
      <c r="J25" s="74" t="s">
        <v>140</v>
      </c>
      <c r="K25" s="103">
        <v>90000</v>
      </c>
      <c r="L25" s="70"/>
      <c r="M25" s="71">
        <f t="shared" si="0"/>
        <v>0</v>
      </c>
      <c r="N25" s="71">
        <f t="shared" si="3"/>
        <v>0</v>
      </c>
      <c r="O25" s="71">
        <v>3</v>
      </c>
    </row>
    <row r="26" spans="1:15" ht="14.5" x14ac:dyDescent="0.25">
      <c r="A26" s="81">
        <v>12</v>
      </c>
      <c r="B26" s="76" t="s">
        <v>328</v>
      </c>
      <c r="C26" s="75" t="s">
        <v>206</v>
      </c>
      <c r="D26" s="70">
        <v>240000</v>
      </c>
      <c r="E26" s="70">
        <v>0</v>
      </c>
      <c r="F26" s="71">
        <f t="shared" si="4"/>
        <v>0</v>
      </c>
      <c r="H26" s="72">
        <v>21</v>
      </c>
      <c r="I26" s="73" t="s">
        <v>272</v>
      </c>
      <c r="J26" s="74" t="s">
        <v>174</v>
      </c>
      <c r="K26" s="103">
        <v>1500000</v>
      </c>
      <c r="L26" s="70"/>
      <c r="M26" s="71">
        <f t="shared" si="0"/>
        <v>0</v>
      </c>
      <c r="N26" s="71">
        <f t="shared" si="3"/>
        <v>0</v>
      </c>
      <c r="O26" s="71">
        <v>24</v>
      </c>
    </row>
    <row r="27" spans="1:15" ht="14.5" x14ac:dyDescent="0.25">
      <c r="A27" s="69">
        <v>13</v>
      </c>
      <c r="B27" s="80" t="s">
        <v>268</v>
      </c>
      <c r="C27" s="81" t="s">
        <v>258</v>
      </c>
      <c r="D27" s="70">
        <v>165</v>
      </c>
      <c r="E27" s="70">
        <v>0</v>
      </c>
      <c r="F27" s="71">
        <f t="shared" si="4"/>
        <v>0</v>
      </c>
      <c r="H27" s="72">
        <v>22</v>
      </c>
      <c r="I27" s="73" t="s">
        <v>274</v>
      </c>
      <c r="J27" s="74" t="s">
        <v>174</v>
      </c>
      <c r="K27" s="103">
        <v>5000</v>
      </c>
      <c r="L27" s="70"/>
      <c r="M27" s="71">
        <f t="shared" si="0"/>
        <v>0</v>
      </c>
      <c r="N27" s="71">
        <f t="shared" si="3"/>
        <v>0</v>
      </c>
      <c r="O27" s="71">
        <v>12</v>
      </c>
    </row>
    <row r="28" spans="1:15" ht="14.5" x14ac:dyDescent="0.25">
      <c r="A28" s="81">
        <v>14</v>
      </c>
      <c r="B28" s="76" t="s">
        <v>329</v>
      </c>
      <c r="C28" s="75" t="s">
        <v>206</v>
      </c>
      <c r="D28" s="70">
        <v>120000</v>
      </c>
      <c r="E28" s="70">
        <v>0</v>
      </c>
      <c r="F28" s="71">
        <f t="shared" si="4"/>
        <v>0</v>
      </c>
      <c r="H28" s="72">
        <v>23</v>
      </c>
      <c r="I28" s="73" t="s">
        <v>276</v>
      </c>
      <c r="J28" s="74" t="s">
        <v>174</v>
      </c>
      <c r="K28" s="103">
        <v>23000</v>
      </c>
      <c r="L28" s="70"/>
      <c r="M28" s="71">
        <f t="shared" si="0"/>
        <v>0</v>
      </c>
      <c r="N28" s="71">
        <f t="shared" si="3"/>
        <v>0</v>
      </c>
      <c r="O28" s="71">
        <v>3</v>
      </c>
    </row>
    <row r="29" spans="1:15" ht="14.5" x14ac:dyDescent="0.25">
      <c r="A29" s="81">
        <v>15</v>
      </c>
      <c r="B29" s="76" t="s">
        <v>330</v>
      </c>
      <c r="C29" s="75" t="s">
        <v>174</v>
      </c>
      <c r="D29" s="70">
        <v>2000</v>
      </c>
      <c r="E29" s="70">
        <v>0</v>
      </c>
      <c r="F29" s="71">
        <f t="shared" ref="F29:F37" si="5">D29*E29</f>
        <v>0</v>
      </c>
      <c r="H29" s="72">
        <v>24</v>
      </c>
      <c r="I29" s="73" t="s">
        <v>167</v>
      </c>
      <c r="J29" s="74" t="s">
        <v>174</v>
      </c>
      <c r="K29" s="103">
        <v>750000</v>
      </c>
      <c r="L29" s="70"/>
      <c r="M29" s="71">
        <f t="shared" si="0"/>
        <v>0</v>
      </c>
      <c r="N29" s="71">
        <f t="shared" si="3"/>
        <v>0</v>
      </c>
      <c r="O29" s="71">
        <v>24</v>
      </c>
    </row>
    <row r="30" spans="1:15" ht="14.5" x14ac:dyDescent="0.25">
      <c r="A30" s="69">
        <v>16</v>
      </c>
      <c r="B30" s="76" t="s">
        <v>331</v>
      </c>
      <c r="C30" s="75" t="s">
        <v>258</v>
      </c>
      <c r="D30" s="70">
        <v>340</v>
      </c>
      <c r="E30" s="70">
        <v>0</v>
      </c>
      <c r="F30" s="71">
        <f t="shared" si="5"/>
        <v>0</v>
      </c>
      <c r="H30" s="72">
        <v>25</v>
      </c>
      <c r="I30" s="73" t="s">
        <v>277</v>
      </c>
      <c r="J30" s="74" t="s">
        <v>174</v>
      </c>
      <c r="K30" s="103">
        <v>10000</v>
      </c>
      <c r="L30" s="70"/>
      <c r="M30" s="71">
        <f t="shared" si="0"/>
        <v>0</v>
      </c>
      <c r="N30" s="71">
        <f t="shared" si="3"/>
        <v>0</v>
      </c>
      <c r="O30" s="71">
        <v>6</v>
      </c>
    </row>
    <row r="31" spans="1:15" ht="14.5" x14ac:dyDescent="0.25">
      <c r="A31" s="81">
        <v>17</v>
      </c>
      <c r="B31" s="76" t="s">
        <v>332</v>
      </c>
      <c r="C31" s="75" t="s">
        <v>258</v>
      </c>
      <c r="D31" s="70">
        <v>100</v>
      </c>
      <c r="E31" s="70">
        <v>0</v>
      </c>
      <c r="F31" s="71">
        <f t="shared" si="5"/>
        <v>0</v>
      </c>
      <c r="H31" s="72">
        <v>26</v>
      </c>
      <c r="I31" s="73" t="s">
        <v>218</v>
      </c>
      <c r="J31" s="74" t="s">
        <v>140</v>
      </c>
      <c r="K31" s="88">
        <v>600000</v>
      </c>
      <c r="L31" s="70"/>
      <c r="M31" s="71">
        <f t="shared" si="0"/>
        <v>0</v>
      </c>
      <c r="N31" s="71">
        <f t="shared" si="3"/>
        <v>0</v>
      </c>
      <c r="O31" s="71">
        <v>12</v>
      </c>
    </row>
    <row r="32" spans="1:15" ht="14.5" x14ac:dyDescent="0.25">
      <c r="A32" s="81">
        <v>18</v>
      </c>
      <c r="B32" s="76" t="s">
        <v>271</v>
      </c>
      <c r="C32" s="75" t="s">
        <v>258</v>
      </c>
      <c r="D32" s="70">
        <v>130</v>
      </c>
      <c r="E32" s="70">
        <v>0</v>
      </c>
      <c r="F32" s="71">
        <f t="shared" si="5"/>
        <v>0</v>
      </c>
      <c r="H32" s="72">
        <v>27</v>
      </c>
      <c r="I32" s="73" t="s">
        <v>281</v>
      </c>
      <c r="J32" s="74" t="s">
        <v>174</v>
      </c>
      <c r="K32" s="88">
        <v>38000</v>
      </c>
      <c r="L32" s="70"/>
      <c r="M32" s="71">
        <f t="shared" si="0"/>
        <v>0</v>
      </c>
      <c r="N32" s="71">
        <f t="shared" si="3"/>
        <v>0</v>
      </c>
      <c r="O32" s="71">
        <v>24</v>
      </c>
    </row>
    <row r="33" spans="1:15" ht="14.5" x14ac:dyDescent="0.25">
      <c r="A33" s="69">
        <v>19</v>
      </c>
      <c r="B33" s="76" t="s">
        <v>312</v>
      </c>
      <c r="C33" s="75" t="s">
        <v>258</v>
      </c>
      <c r="D33" s="70">
        <v>195</v>
      </c>
      <c r="E33" s="70">
        <v>0</v>
      </c>
      <c r="F33" s="71">
        <f t="shared" si="5"/>
        <v>0</v>
      </c>
      <c r="H33" s="72">
        <v>28</v>
      </c>
      <c r="I33" s="73" t="s">
        <v>336</v>
      </c>
      <c r="J33" s="74" t="s">
        <v>140</v>
      </c>
      <c r="K33" s="88">
        <v>450000</v>
      </c>
      <c r="L33" s="70"/>
      <c r="M33" s="71">
        <f t="shared" si="0"/>
        <v>0</v>
      </c>
      <c r="N33" s="71">
        <f t="shared" si="3"/>
        <v>0</v>
      </c>
      <c r="O33" s="71">
        <v>24</v>
      </c>
    </row>
    <row r="34" spans="1:15" ht="14.5" x14ac:dyDescent="0.25">
      <c r="A34" s="81">
        <v>20</v>
      </c>
      <c r="B34" s="76" t="s">
        <v>333</v>
      </c>
      <c r="C34" s="75" t="s">
        <v>258</v>
      </c>
      <c r="D34" s="70">
        <v>500</v>
      </c>
      <c r="E34" s="70">
        <v>0</v>
      </c>
      <c r="F34" s="71">
        <f t="shared" si="5"/>
        <v>0</v>
      </c>
      <c r="H34" s="72">
        <v>29</v>
      </c>
      <c r="I34" s="73" t="s">
        <v>285</v>
      </c>
      <c r="J34" s="74" t="s">
        <v>140</v>
      </c>
      <c r="K34" s="88">
        <v>100000</v>
      </c>
      <c r="L34" s="70"/>
      <c r="M34" s="71">
        <f t="shared" si="0"/>
        <v>0</v>
      </c>
      <c r="N34" s="71">
        <f t="shared" si="3"/>
        <v>0</v>
      </c>
      <c r="O34" s="71">
        <v>6</v>
      </c>
    </row>
    <row r="35" spans="1:15" ht="14.5" x14ac:dyDescent="0.25">
      <c r="A35" s="69">
        <v>21</v>
      </c>
      <c r="B35" s="76" t="s">
        <v>334</v>
      </c>
      <c r="C35" s="75" t="s">
        <v>206</v>
      </c>
      <c r="D35" s="70"/>
      <c r="E35" s="70">
        <v>0</v>
      </c>
      <c r="F35" s="71">
        <f t="shared" si="5"/>
        <v>0</v>
      </c>
      <c r="H35" s="72">
        <v>30</v>
      </c>
      <c r="I35" s="73" t="s">
        <v>288</v>
      </c>
      <c r="J35" s="74" t="s">
        <v>140</v>
      </c>
      <c r="K35" s="88">
        <v>1750000</v>
      </c>
      <c r="L35" s="70"/>
      <c r="M35" s="71">
        <f t="shared" si="0"/>
        <v>0</v>
      </c>
      <c r="N35" s="71">
        <f t="shared" si="3"/>
        <v>0</v>
      </c>
      <c r="O35" s="71">
        <v>36</v>
      </c>
    </row>
    <row r="36" spans="1:15" ht="15.5" x14ac:dyDescent="0.35">
      <c r="A36" s="81">
        <v>22</v>
      </c>
      <c r="B36" s="76" t="s">
        <v>273</v>
      </c>
      <c r="C36" s="75" t="s">
        <v>258</v>
      </c>
      <c r="D36" s="70">
        <v>1320</v>
      </c>
      <c r="E36" s="70">
        <v>20</v>
      </c>
      <c r="F36" s="71">
        <f t="shared" si="5"/>
        <v>26400</v>
      </c>
      <c r="H36" s="158" t="s">
        <v>290</v>
      </c>
      <c r="I36" s="159"/>
      <c r="J36" s="159"/>
      <c r="K36" s="159"/>
      <c r="L36" s="160"/>
      <c r="M36" s="90">
        <f>SUM(M6:M35)</f>
        <v>0</v>
      </c>
      <c r="N36" s="90">
        <f>SUM(N6:N35)</f>
        <v>0</v>
      </c>
      <c r="O36" s="91"/>
    </row>
    <row r="37" spans="1:15" x14ac:dyDescent="0.25">
      <c r="A37" s="69">
        <v>23</v>
      </c>
      <c r="B37" s="76" t="s">
        <v>335</v>
      </c>
      <c r="C37" s="75" t="s">
        <v>258</v>
      </c>
      <c r="D37" s="70">
        <v>27</v>
      </c>
      <c r="E37" s="70">
        <v>0</v>
      </c>
      <c r="F37" s="71">
        <f t="shared" si="5"/>
        <v>0</v>
      </c>
    </row>
    <row r="38" spans="1:15" s="89" customFormat="1" ht="14.5" x14ac:dyDescent="0.35">
      <c r="A38" s="171" t="s">
        <v>275</v>
      </c>
      <c r="B38" s="172"/>
      <c r="C38" s="172"/>
      <c r="D38" s="172"/>
      <c r="E38" s="173"/>
      <c r="F38" s="82">
        <f>SUM(F15:F37)</f>
        <v>26400</v>
      </c>
      <c r="H38"/>
      <c r="I38"/>
      <c r="J38"/>
      <c r="K38"/>
      <c r="L38"/>
      <c r="M38"/>
      <c r="N38"/>
      <c r="O38"/>
    </row>
    <row r="39" spans="1:15" ht="22.5" customHeight="1" x14ac:dyDescent="0.25">
      <c r="A39" s="66" t="s">
        <v>229</v>
      </c>
      <c r="B39" s="66" t="s">
        <v>136</v>
      </c>
      <c r="C39" s="66" t="s">
        <v>231</v>
      </c>
      <c r="D39" s="67" t="s">
        <v>232</v>
      </c>
      <c r="E39" s="67" t="s">
        <v>233</v>
      </c>
      <c r="F39" s="68" t="s">
        <v>234</v>
      </c>
    </row>
    <row r="40" spans="1:15" ht="14.5" x14ac:dyDescent="0.25">
      <c r="A40" s="72">
        <v>1</v>
      </c>
      <c r="B40" s="73" t="s">
        <v>171</v>
      </c>
      <c r="C40" s="74" t="s">
        <v>174</v>
      </c>
      <c r="D40" s="70">
        <v>500</v>
      </c>
      <c r="E40" s="70">
        <v>0</v>
      </c>
      <c r="F40" s="71">
        <f t="shared" ref="F40:F48" si="6">D40*E40</f>
        <v>0</v>
      </c>
    </row>
    <row r="41" spans="1:15" ht="14.5" x14ac:dyDescent="0.25">
      <c r="A41" s="72">
        <v>2</v>
      </c>
      <c r="B41" s="73" t="s">
        <v>278</v>
      </c>
      <c r="C41" s="74" t="s">
        <v>140</v>
      </c>
      <c r="D41" s="70">
        <v>25000</v>
      </c>
      <c r="E41" s="70">
        <v>0</v>
      </c>
      <c r="F41" s="71">
        <f t="shared" si="6"/>
        <v>0</v>
      </c>
    </row>
    <row r="42" spans="1:15" ht="14.5" x14ac:dyDescent="0.25">
      <c r="A42" s="72">
        <v>3</v>
      </c>
      <c r="B42" s="73" t="s">
        <v>279</v>
      </c>
      <c r="C42" s="74" t="s">
        <v>280</v>
      </c>
      <c r="D42" s="70">
        <v>132000</v>
      </c>
      <c r="E42" s="70">
        <v>0</v>
      </c>
      <c r="F42" s="71">
        <f t="shared" si="6"/>
        <v>0</v>
      </c>
    </row>
    <row r="43" spans="1:15" ht="14.5" x14ac:dyDescent="0.25">
      <c r="A43" s="72">
        <v>4</v>
      </c>
      <c r="B43" s="73" t="s">
        <v>282</v>
      </c>
      <c r="C43" s="74" t="s">
        <v>174</v>
      </c>
      <c r="D43" s="70">
        <v>5000</v>
      </c>
      <c r="E43" s="70">
        <v>0</v>
      </c>
      <c r="F43" s="71">
        <f t="shared" si="6"/>
        <v>0</v>
      </c>
    </row>
    <row r="44" spans="1:15" ht="14.5" x14ac:dyDescent="0.25">
      <c r="A44" s="72">
        <v>5</v>
      </c>
      <c r="B44" s="73" t="s">
        <v>283</v>
      </c>
      <c r="C44" s="74" t="s">
        <v>284</v>
      </c>
      <c r="D44" s="70">
        <v>15000</v>
      </c>
      <c r="E44" s="70">
        <v>0</v>
      </c>
      <c r="F44" s="71">
        <f t="shared" si="6"/>
        <v>0</v>
      </c>
    </row>
    <row r="45" spans="1:15" ht="14.5" x14ac:dyDescent="0.35">
      <c r="A45" s="72">
        <v>6</v>
      </c>
      <c r="B45" s="73" t="s">
        <v>286</v>
      </c>
      <c r="C45" s="74" t="s">
        <v>287</v>
      </c>
      <c r="D45" s="70">
        <v>20000</v>
      </c>
      <c r="E45" s="70">
        <v>0</v>
      </c>
      <c r="F45" s="71">
        <f t="shared" si="6"/>
        <v>0</v>
      </c>
      <c r="H45" s="94"/>
      <c r="I45" s="94"/>
      <c r="J45" s="94"/>
      <c r="K45" s="94"/>
      <c r="L45" s="94"/>
      <c r="M45" s="94"/>
      <c r="N45" s="94"/>
      <c r="O45" s="94"/>
    </row>
    <row r="46" spans="1:15" ht="18.75" customHeight="1" x14ac:dyDescent="0.25">
      <c r="A46" s="72">
        <v>7</v>
      </c>
      <c r="B46" s="79" t="s">
        <v>289</v>
      </c>
      <c r="C46" s="72" t="s">
        <v>174</v>
      </c>
      <c r="D46" s="70">
        <v>350</v>
      </c>
      <c r="E46" s="70">
        <v>0</v>
      </c>
      <c r="F46" s="71">
        <f t="shared" si="6"/>
        <v>0</v>
      </c>
    </row>
    <row r="47" spans="1:15" ht="14.5" x14ac:dyDescent="0.25">
      <c r="A47" s="72">
        <v>8</v>
      </c>
      <c r="B47" s="73" t="s">
        <v>160</v>
      </c>
      <c r="C47" s="74" t="s">
        <v>287</v>
      </c>
      <c r="D47" s="70">
        <v>350</v>
      </c>
      <c r="E47" s="70">
        <v>0</v>
      </c>
      <c r="F47" s="71">
        <f t="shared" si="6"/>
        <v>0</v>
      </c>
    </row>
    <row r="48" spans="1:15" ht="14.5" x14ac:dyDescent="0.25">
      <c r="A48" s="72">
        <v>9</v>
      </c>
      <c r="B48" s="73" t="s">
        <v>305</v>
      </c>
      <c r="C48" s="74" t="s">
        <v>174</v>
      </c>
      <c r="D48" s="70">
        <v>29000</v>
      </c>
      <c r="E48" s="70">
        <v>0</v>
      </c>
      <c r="F48" s="71">
        <f t="shared" si="6"/>
        <v>0</v>
      </c>
    </row>
    <row r="49" spans="1:15" ht="14.5" x14ac:dyDescent="0.35">
      <c r="A49" s="161" t="s">
        <v>291</v>
      </c>
      <c r="B49" s="162"/>
      <c r="C49" s="162"/>
      <c r="D49" s="162"/>
      <c r="E49" s="163"/>
      <c r="F49" s="82">
        <f>SUM(F40:F48)</f>
        <v>0</v>
      </c>
    </row>
    <row r="50" spans="1:15" ht="15.5" x14ac:dyDescent="0.35">
      <c r="A50" s="164" t="s">
        <v>292</v>
      </c>
      <c r="B50" s="165"/>
      <c r="C50" s="165"/>
      <c r="D50" s="165"/>
      <c r="E50" s="166"/>
      <c r="F50" s="92">
        <f>F49+F38+F13+M36</f>
        <v>26400</v>
      </c>
      <c r="G50" s="93"/>
    </row>
    <row r="55" spans="1:15" s="94" customFormat="1" ht="14.5" x14ac:dyDescent="0.35">
      <c r="A55"/>
      <c r="B55"/>
      <c r="C55"/>
      <c r="D55"/>
      <c r="E55"/>
      <c r="F55"/>
      <c r="H55"/>
      <c r="I55"/>
      <c r="J55"/>
      <c r="K55"/>
      <c r="L55"/>
      <c r="M55"/>
      <c r="N55"/>
      <c r="O55"/>
    </row>
    <row r="57" spans="1:15" ht="39" customHeight="1" x14ac:dyDescent="0.25"/>
    <row r="80" spans="8:15" ht="15.5" x14ac:dyDescent="0.35">
      <c r="H80" s="99"/>
      <c r="I80" s="99"/>
      <c r="J80" s="99"/>
      <c r="K80" s="99"/>
      <c r="L80" s="99"/>
      <c r="M80" s="99"/>
      <c r="N80" s="99"/>
      <c r="O80" s="99"/>
    </row>
    <row r="82" spans="1:15" ht="15.5" x14ac:dyDescent="0.35">
      <c r="A82" s="95"/>
      <c r="B82" s="96"/>
      <c r="C82" s="96"/>
      <c r="D82" s="96"/>
      <c r="E82" s="96"/>
      <c r="F82" s="97"/>
    </row>
    <row r="83" spans="1:15" ht="15.5" x14ac:dyDescent="0.35">
      <c r="A83" s="167" t="s">
        <v>293</v>
      </c>
      <c r="B83" s="168"/>
      <c r="C83" s="168"/>
      <c r="D83" s="168"/>
      <c r="E83" s="168"/>
      <c r="F83" s="169"/>
    </row>
    <row r="88" spans="1:15" ht="15.5" x14ac:dyDescent="0.35">
      <c r="G88" s="98"/>
    </row>
    <row r="89" spans="1:15" ht="15.5" x14ac:dyDescent="0.35">
      <c r="G89" s="98"/>
    </row>
    <row r="90" spans="1:15" s="99" customFormat="1" ht="18.75" customHeight="1" x14ac:dyDescent="0.35">
      <c r="A90"/>
      <c r="B90"/>
      <c r="C90"/>
      <c r="D90"/>
      <c r="E90"/>
      <c r="F90"/>
      <c r="G90" s="98"/>
      <c r="H90"/>
      <c r="I90"/>
      <c r="J90"/>
      <c r="K90"/>
      <c r="L90"/>
      <c r="M90"/>
      <c r="N90"/>
      <c r="O90"/>
    </row>
  </sheetData>
  <mergeCells count="9">
    <mergeCell ref="H36:L36"/>
    <mergeCell ref="A49:E49"/>
    <mergeCell ref="A50:E50"/>
    <mergeCell ref="A83:F83"/>
    <mergeCell ref="A1:F1"/>
    <mergeCell ref="A2:F2"/>
    <mergeCell ref="A3:F3"/>
    <mergeCell ref="A13:E13"/>
    <mergeCell ref="A38:E3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000"/>
  <sheetViews>
    <sheetView topLeftCell="A58" workbookViewId="0">
      <selection activeCell="G164" sqref="G164"/>
    </sheetView>
  </sheetViews>
  <sheetFormatPr defaultColWidth="14.453125" defaultRowHeight="15.75" customHeight="1" x14ac:dyDescent="0.25"/>
  <cols>
    <col min="1" max="1" width="34.81640625" customWidth="1"/>
    <col min="2" max="2" width="5.7265625" customWidth="1"/>
    <col min="3" max="3" width="6.7265625" customWidth="1"/>
    <col min="4" max="4" width="13.81640625" bestFit="1" customWidth="1"/>
    <col min="5" max="6" width="11.81640625" customWidth="1"/>
  </cols>
  <sheetData>
    <row r="1" spans="1:7" ht="14.5" x14ac:dyDescent="0.35">
      <c r="A1" s="1" t="s">
        <v>0</v>
      </c>
      <c r="B1" s="2"/>
      <c r="C1" s="2"/>
      <c r="D1" s="2"/>
      <c r="E1" s="2"/>
      <c r="F1" s="4">
        <f>SUM(E3:E12)</f>
        <v>2100</v>
      </c>
    </row>
    <row r="2" spans="1:7" ht="14.5" x14ac:dyDescent="0.35">
      <c r="A2" s="5"/>
      <c r="B2" s="6" t="s">
        <v>2</v>
      </c>
      <c r="C2" s="6"/>
      <c r="D2" s="6" t="s">
        <v>3</v>
      </c>
      <c r="E2" s="6" t="s">
        <v>4</v>
      </c>
      <c r="F2" s="6"/>
    </row>
    <row r="3" spans="1:7" ht="14.5" x14ac:dyDescent="0.35">
      <c r="A3" s="5" t="s">
        <v>5</v>
      </c>
      <c r="B3" s="8">
        <v>0.11</v>
      </c>
      <c r="C3" s="6" t="s">
        <v>7</v>
      </c>
      <c r="D3" s="10">
        <v>10000</v>
      </c>
      <c r="E3" s="8">
        <f t="shared" ref="E3:E4" si="0">B3*D3</f>
        <v>1100</v>
      </c>
      <c r="F3" s="6"/>
      <c r="G3" s="12" t="s">
        <v>8</v>
      </c>
    </row>
    <row r="4" spans="1:7" ht="14.5" x14ac:dyDescent="0.35">
      <c r="A4" s="5" t="s">
        <v>10</v>
      </c>
      <c r="B4" s="8">
        <v>1.0000000000000001E-5</v>
      </c>
      <c r="C4" s="6" t="s">
        <v>11</v>
      </c>
      <c r="D4" s="8">
        <v>100000000</v>
      </c>
      <c r="E4" s="8">
        <f t="shared" si="0"/>
        <v>1000.0000000000001</v>
      </c>
      <c r="F4" s="6"/>
    </row>
    <row r="5" spans="1:7" ht="14.5" x14ac:dyDescent="0.35">
      <c r="A5" s="5"/>
      <c r="B5" s="6"/>
      <c r="C5" s="6"/>
      <c r="D5" s="6"/>
      <c r="E5" s="8">
        <v>0</v>
      </c>
      <c r="F5" s="6"/>
    </row>
    <row r="6" spans="1:7" ht="14.5" x14ac:dyDescent="0.35">
      <c r="A6" s="5"/>
      <c r="B6" s="6"/>
      <c r="C6" s="6"/>
      <c r="D6" s="6"/>
      <c r="E6" s="8">
        <v>0</v>
      </c>
      <c r="F6" s="6"/>
    </row>
    <row r="7" spans="1:7" ht="14.5" x14ac:dyDescent="0.35">
      <c r="A7" s="5"/>
      <c r="B7" s="6"/>
      <c r="C7" s="6"/>
      <c r="D7" s="6"/>
      <c r="E7" s="8">
        <v>0</v>
      </c>
      <c r="F7" s="6"/>
    </row>
    <row r="8" spans="1:7" ht="14.5" x14ac:dyDescent="0.35">
      <c r="A8" s="5"/>
      <c r="B8" s="6"/>
      <c r="C8" s="6"/>
      <c r="D8" s="6"/>
      <c r="E8" s="8">
        <v>0</v>
      </c>
      <c r="F8" s="6"/>
    </row>
    <row r="9" spans="1:7" ht="14.5" x14ac:dyDescent="0.35">
      <c r="A9" s="5"/>
      <c r="B9" s="6"/>
      <c r="C9" s="6"/>
      <c r="D9" s="6"/>
      <c r="E9" s="8">
        <v>0</v>
      </c>
      <c r="F9" s="6"/>
    </row>
    <row r="10" spans="1:7" ht="14.5" x14ac:dyDescent="0.35">
      <c r="A10" s="5"/>
      <c r="B10" s="6"/>
      <c r="C10" s="6"/>
      <c r="D10" s="6"/>
      <c r="E10" s="8">
        <v>0</v>
      </c>
      <c r="F10" s="6"/>
    </row>
    <row r="11" spans="1:7" ht="14.5" x14ac:dyDescent="0.35">
      <c r="A11" s="5"/>
      <c r="B11" s="6"/>
      <c r="C11" s="6"/>
      <c r="D11" s="6"/>
      <c r="E11" s="8">
        <v>0</v>
      </c>
      <c r="F11" s="6"/>
    </row>
    <row r="12" spans="1:7" ht="14.5" x14ac:dyDescent="0.35">
      <c r="A12" s="5"/>
      <c r="B12" s="6"/>
      <c r="C12" s="6"/>
      <c r="D12" s="6"/>
      <c r="E12" s="6"/>
      <c r="F12" s="6"/>
    </row>
    <row r="13" spans="1:7" ht="14.5" x14ac:dyDescent="0.35">
      <c r="A13" s="1" t="s">
        <v>14</v>
      </c>
      <c r="B13" s="2"/>
      <c r="C13" s="2"/>
      <c r="D13" s="2"/>
      <c r="E13" s="2"/>
      <c r="F13" s="4">
        <f>SUM(E15:E24)</f>
        <v>600</v>
      </c>
    </row>
    <row r="14" spans="1:7" ht="14.5" x14ac:dyDescent="0.35">
      <c r="A14" s="5"/>
      <c r="B14" s="6" t="s">
        <v>2</v>
      </c>
      <c r="C14" s="6"/>
      <c r="D14" s="6" t="s">
        <v>3</v>
      </c>
      <c r="E14" s="6" t="s">
        <v>4</v>
      </c>
      <c r="F14" s="6"/>
    </row>
    <row r="15" spans="1:7" ht="14.5" x14ac:dyDescent="0.35">
      <c r="A15" s="5" t="s">
        <v>17</v>
      </c>
      <c r="B15" s="8">
        <v>0.04</v>
      </c>
      <c r="C15" s="6" t="s">
        <v>7</v>
      </c>
      <c r="D15" s="10">
        <v>10000</v>
      </c>
      <c r="E15" s="8">
        <f t="shared" ref="E15:E16" si="1">B15*D15</f>
        <v>400</v>
      </c>
      <c r="F15" s="6"/>
      <c r="G15" s="12" t="s">
        <v>8</v>
      </c>
    </row>
    <row r="16" spans="1:7" ht="14.5" x14ac:dyDescent="0.35">
      <c r="A16" s="5" t="s">
        <v>10</v>
      </c>
      <c r="B16" s="8">
        <v>1.0000000000000001E-5</v>
      </c>
      <c r="C16" s="6" t="s">
        <v>11</v>
      </c>
      <c r="D16" s="10">
        <v>20000000</v>
      </c>
      <c r="E16" s="8">
        <f t="shared" si="1"/>
        <v>200.00000000000003</v>
      </c>
      <c r="F16" s="6"/>
    </row>
    <row r="17" spans="1:7" ht="14.5" x14ac:dyDescent="0.35">
      <c r="A17" s="5"/>
      <c r="B17" s="6"/>
      <c r="C17" s="6"/>
      <c r="D17" s="6"/>
      <c r="E17" s="8">
        <v>0</v>
      </c>
      <c r="F17" s="6"/>
    </row>
    <row r="18" spans="1:7" ht="14.5" x14ac:dyDescent="0.35">
      <c r="A18" s="5"/>
      <c r="B18" s="6"/>
      <c r="C18" s="6"/>
      <c r="D18" s="6"/>
      <c r="E18" s="8">
        <v>0</v>
      </c>
      <c r="F18" s="6"/>
    </row>
    <row r="19" spans="1:7" ht="14.5" x14ac:dyDescent="0.35">
      <c r="A19" s="5"/>
      <c r="B19" s="6"/>
      <c r="C19" s="6"/>
      <c r="D19" s="6"/>
      <c r="E19" s="8">
        <v>0</v>
      </c>
      <c r="F19" s="6"/>
    </row>
    <row r="20" spans="1:7" ht="14.5" x14ac:dyDescent="0.35">
      <c r="A20" s="5"/>
      <c r="B20" s="6"/>
      <c r="C20" s="6"/>
      <c r="D20" s="6"/>
      <c r="E20" s="8">
        <v>0</v>
      </c>
      <c r="F20" s="6"/>
    </row>
    <row r="21" spans="1:7" ht="14.5" x14ac:dyDescent="0.35">
      <c r="A21" s="5"/>
      <c r="B21" s="6"/>
      <c r="C21" s="6"/>
      <c r="D21" s="6"/>
      <c r="E21" s="8">
        <v>0</v>
      </c>
      <c r="F21" s="6"/>
    </row>
    <row r="22" spans="1:7" ht="14.5" x14ac:dyDescent="0.35">
      <c r="A22" s="5"/>
      <c r="B22" s="6"/>
      <c r="C22" s="6"/>
      <c r="D22" s="6"/>
      <c r="E22" s="8">
        <v>0</v>
      </c>
      <c r="F22" s="6"/>
    </row>
    <row r="23" spans="1:7" ht="14.5" x14ac:dyDescent="0.35">
      <c r="A23" s="5"/>
      <c r="B23" s="6"/>
      <c r="C23" s="6"/>
      <c r="D23" s="6"/>
      <c r="E23" s="8">
        <v>0</v>
      </c>
      <c r="F23" s="6"/>
    </row>
    <row r="24" spans="1:7" ht="14.5" x14ac:dyDescent="0.35">
      <c r="A24" s="5"/>
      <c r="B24" s="6"/>
      <c r="C24" s="6"/>
      <c r="D24" s="6"/>
      <c r="E24" s="6"/>
      <c r="F24" s="6"/>
    </row>
    <row r="25" spans="1:7" ht="14.5" x14ac:dyDescent="0.35">
      <c r="A25" s="1" t="s">
        <v>23</v>
      </c>
      <c r="B25" s="2"/>
      <c r="C25" s="2"/>
      <c r="D25" s="2"/>
      <c r="E25" s="2"/>
      <c r="F25" s="4">
        <f>F33</f>
        <v>29229.166666666668</v>
      </c>
    </row>
    <row r="26" spans="1:7" ht="14.5" x14ac:dyDescent="0.35">
      <c r="A26" s="5"/>
      <c r="B26" s="6" t="s">
        <v>2</v>
      </c>
      <c r="C26" s="6"/>
      <c r="D26" s="6" t="s">
        <v>3</v>
      </c>
      <c r="E26" s="6" t="s">
        <v>4</v>
      </c>
      <c r="F26" s="6"/>
    </row>
    <row r="27" spans="1:7" ht="14.5" x14ac:dyDescent="0.35">
      <c r="A27" s="5" t="s">
        <v>26</v>
      </c>
      <c r="B27" s="8">
        <v>1</v>
      </c>
      <c r="C27" s="6" t="s">
        <v>28</v>
      </c>
      <c r="D27" s="10">
        <v>4750000</v>
      </c>
      <c r="E27" s="8">
        <f t="shared" ref="E27:E31" si="2">B27*D27</f>
        <v>4750000</v>
      </c>
      <c r="F27" s="6"/>
      <c r="G27" s="12" t="s">
        <v>340</v>
      </c>
    </row>
    <row r="28" spans="1:7" ht="14.5" x14ac:dyDescent="0.35">
      <c r="A28" s="5" t="s">
        <v>29</v>
      </c>
      <c r="B28" s="8">
        <v>25</v>
      </c>
      <c r="C28" s="6" t="s">
        <v>30</v>
      </c>
      <c r="D28" s="10">
        <v>20000</v>
      </c>
      <c r="E28" s="8">
        <f t="shared" si="2"/>
        <v>500000</v>
      </c>
      <c r="F28" s="6"/>
    </row>
    <row r="29" spans="1:7" ht="14.5" x14ac:dyDescent="0.35">
      <c r="A29" s="5"/>
      <c r="B29" s="6"/>
      <c r="C29" s="6"/>
      <c r="D29" s="6"/>
      <c r="E29" s="8">
        <f t="shared" si="2"/>
        <v>0</v>
      </c>
      <c r="F29" s="6"/>
    </row>
    <row r="30" spans="1:7" ht="14.5" x14ac:dyDescent="0.35">
      <c r="A30" s="5" t="s">
        <v>32</v>
      </c>
      <c r="B30" s="8">
        <v>1</v>
      </c>
      <c r="C30" s="6" t="s">
        <v>28</v>
      </c>
      <c r="D30" s="8">
        <v>100000</v>
      </c>
      <c r="E30" s="8">
        <f t="shared" si="2"/>
        <v>100000</v>
      </c>
      <c r="F30" s="6"/>
    </row>
    <row r="31" spans="1:7" ht="14.5" x14ac:dyDescent="0.35">
      <c r="A31" s="5" t="s">
        <v>33</v>
      </c>
      <c r="B31" s="8">
        <v>0.03</v>
      </c>
      <c r="C31" s="6" t="s">
        <v>28</v>
      </c>
      <c r="D31" s="8">
        <v>400000</v>
      </c>
      <c r="E31" s="8">
        <f t="shared" si="2"/>
        <v>12000</v>
      </c>
      <c r="F31" s="6"/>
    </row>
    <row r="32" spans="1:7" ht="14.5" x14ac:dyDescent="0.35">
      <c r="A32" s="5" t="s">
        <v>34</v>
      </c>
      <c r="B32" s="8">
        <f>1/12</f>
        <v>8.3333333333333329E-2</v>
      </c>
      <c r="C32" s="6" t="s">
        <v>28</v>
      </c>
      <c r="D32" s="10">
        <v>3000000</v>
      </c>
      <c r="E32" s="8">
        <f>B32*D32</f>
        <v>250000</v>
      </c>
      <c r="F32" s="6"/>
    </row>
    <row r="33" spans="1:6" ht="14.5" x14ac:dyDescent="0.35">
      <c r="A33" s="5" t="s">
        <v>36</v>
      </c>
      <c r="B33" s="6"/>
      <c r="C33" s="6"/>
      <c r="D33" s="8">
        <v>192</v>
      </c>
      <c r="E33" s="8">
        <f>SUM(E27:E32)</f>
        <v>5612000</v>
      </c>
      <c r="F33" s="8">
        <f>E33/D33</f>
        <v>29229.166666666668</v>
      </c>
    </row>
    <row r="34" spans="1:6" ht="14.5" x14ac:dyDescent="0.35">
      <c r="A34" s="5"/>
      <c r="B34" s="6"/>
      <c r="C34" s="6"/>
      <c r="D34" s="6"/>
      <c r="E34" s="8">
        <v>0</v>
      </c>
      <c r="F34" s="6"/>
    </row>
    <row r="35" spans="1:6" ht="14.5" x14ac:dyDescent="0.35">
      <c r="A35" s="5"/>
      <c r="B35" s="6"/>
      <c r="C35" s="6"/>
      <c r="D35" s="6"/>
      <c r="E35" s="8">
        <v>0</v>
      </c>
      <c r="F35" s="6"/>
    </row>
    <row r="36" spans="1:6" ht="14.5" x14ac:dyDescent="0.35">
      <c r="A36" s="5"/>
      <c r="B36" s="6"/>
      <c r="C36" s="6"/>
      <c r="D36" s="6"/>
      <c r="E36" s="6"/>
      <c r="F36" s="6"/>
    </row>
    <row r="37" spans="1:6" ht="14.5" x14ac:dyDescent="0.35">
      <c r="A37" s="1" t="s">
        <v>38</v>
      </c>
      <c r="B37" s="2"/>
      <c r="C37" s="2"/>
      <c r="D37" s="2"/>
      <c r="E37" s="2"/>
      <c r="F37" s="4">
        <f>F46</f>
        <v>28903.645833333332</v>
      </c>
    </row>
    <row r="38" spans="1:6" ht="14.5" x14ac:dyDescent="0.35">
      <c r="A38" s="5"/>
      <c r="B38" s="6" t="s">
        <v>2</v>
      </c>
      <c r="C38" s="6"/>
      <c r="D38" s="6" t="s">
        <v>3</v>
      </c>
      <c r="E38" s="6" t="s">
        <v>4</v>
      </c>
      <c r="F38" s="6"/>
    </row>
    <row r="39" spans="1:6" ht="14.5" x14ac:dyDescent="0.35">
      <c r="A39" s="5" t="s">
        <v>39</v>
      </c>
      <c r="B39" s="8">
        <v>1</v>
      </c>
      <c r="C39" s="6" t="s">
        <v>28</v>
      </c>
      <c r="D39" s="10">
        <v>4750000</v>
      </c>
      <c r="E39" s="8">
        <f t="shared" ref="E39:E45" si="3">B39*D39</f>
        <v>4750000</v>
      </c>
      <c r="F39" s="6"/>
    </row>
    <row r="40" spans="1:6" ht="14.5" x14ac:dyDescent="0.35">
      <c r="A40" s="5" t="s">
        <v>29</v>
      </c>
      <c r="B40" s="8">
        <v>26</v>
      </c>
      <c r="C40" s="6" t="s">
        <v>30</v>
      </c>
      <c r="D40" s="10">
        <v>20000</v>
      </c>
      <c r="E40" s="8">
        <f t="shared" si="3"/>
        <v>520000</v>
      </c>
      <c r="F40" s="6"/>
    </row>
    <row r="41" spans="1:6" ht="14.5" x14ac:dyDescent="0.35">
      <c r="A41" s="5"/>
      <c r="B41" s="6"/>
      <c r="C41" s="6"/>
      <c r="D41" s="6"/>
      <c r="E41" s="8">
        <f t="shared" si="3"/>
        <v>0</v>
      </c>
      <c r="F41" s="6"/>
    </row>
    <row r="42" spans="1:6" ht="14.5" x14ac:dyDescent="0.35">
      <c r="A42" s="5" t="s">
        <v>32</v>
      </c>
      <c r="B42" s="8">
        <v>1</v>
      </c>
      <c r="C42" s="6" t="s">
        <v>28</v>
      </c>
      <c r="D42" s="8">
        <v>25000</v>
      </c>
      <c r="E42" s="8">
        <f t="shared" si="3"/>
        <v>25000</v>
      </c>
      <c r="F42" s="6"/>
    </row>
    <row r="43" spans="1:6" ht="14.5" x14ac:dyDescent="0.35">
      <c r="A43" s="5" t="s">
        <v>33</v>
      </c>
      <c r="B43" s="8">
        <v>0.03</v>
      </c>
      <c r="C43" s="6" t="s">
        <v>28</v>
      </c>
      <c r="D43" s="8">
        <v>250000</v>
      </c>
      <c r="E43" s="8">
        <f t="shared" si="3"/>
        <v>7500</v>
      </c>
      <c r="F43" s="6"/>
    </row>
    <row r="44" spans="1:6" ht="14.5" x14ac:dyDescent="0.35">
      <c r="A44" s="5" t="s">
        <v>43</v>
      </c>
      <c r="B44" s="8">
        <v>0.1</v>
      </c>
      <c r="C44" s="6" t="s">
        <v>28</v>
      </c>
      <c r="D44" s="8">
        <v>70000</v>
      </c>
      <c r="E44" s="8">
        <f t="shared" si="3"/>
        <v>7000</v>
      </c>
      <c r="F44" s="6"/>
    </row>
    <row r="45" spans="1:6" ht="14.5" x14ac:dyDescent="0.35">
      <c r="A45" s="5" t="s">
        <v>34</v>
      </c>
      <c r="B45" s="8">
        <v>0.08</v>
      </c>
      <c r="C45" s="6" t="s">
        <v>28</v>
      </c>
      <c r="D45" s="10">
        <v>3000000</v>
      </c>
      <c r="E45" s="8">
        <f t="shared" si="3"/>
        <v>240000</v>
      </c>
      <c r="F45" s="6"/>
    </row>
    <row r="46" spans="1:6" ht="14.5" x14ac:dyDescent="0.35">
      <c r="A46" s="5" t="s">
        <v>36</v>
      </c>
      <c r="B46" s="6"/>
      <c r="C46" s="6"/>
      <c r="D46" s="8">
        <v>192</v>
      </c>
      <c r="E46" s="8">
        <f>SUM(E39:E45)</f>
        <v>5549500</v>
      </c>
      <c r="F46" s="8">
        <f>E46/D46</f>
        <v>28903.645833333332</v>
      </c>
    </row>
    <row r="47" spans="1:6" ht="14.5" x14ac:dyDescent="0.35">
      <c r="A47" s="5"/>
      <c r="B47" s="6"/>
      <c r="C47" s="6"/>
      <c r="D47" s="6"/>
      <c r="E47" s="8">
        <v>0</v>
      </c>
      <c r="F47" s="6"/>
    </row>
    <row r="48" spans="1:6" ht="14.5" x14ac:dyDescent="0.35">
      <c r="A48" s="5"/>
      <c r="B48" s="6"/>
      <c r="C48" s="6"/>
      <c r="D48" s="6"/>
      <c r="E48" s="6"/>
      <c r="F48" s="6"/>
    </row>
    <row r="49" spans="1:7" ht="14.5" x14ac:dyDescent="0.35">
      <c r="A49" s="1" t="s">
        <v>45</v>
      </c>
      <c r="B49" s="2"/>
      <c r="C49" s="2"/>
      <c r="D49" s="2"/>
      <c r="E49" s="2"/>
      <c r="F49" s="4">
        <f>SUM(E51:E60)</f>
        <v>29451.822916666664</v>
      </c>
    </row>
    <row r="50" spans="1:7" ht="14.5" x14ac:dyDescent="0.35">
      <c r="A50" s="5"/>
      <c r="B50" s="6" t="s">
        <v>2</v>
      </c>
      <c r="C50" s="6"/>
      <c r="D50" s="6" t="s">
        <v>3</v>
      </c>
      <c r="E50" s="6" t="s">
        <v>4</v>
      </c>
      <c r="F50" s="6"/>
    </row>
    <row r="51" spans="1:7" ht="14.5" x14ac:dyDescent="0.35">
      <c r="A51" s="5" t="s">
        <v>48</v>
      </c>
      <c r="B51" s="8">
        <v>1</v>
      </c>
      <c r="C51" s="6" t="s">
        <v>49</v>
      </c>
      <c r="D51" s="10">
        <v>15000</v>
      </c>
      <c r="E51" s="8">
        <f t="shared" ref="E51:E52" si="4">B51*D51</f>
        <v>15000</v>
      </c>
      <c r="F51" s="6"/>
      <c r="G51" s="12" t="s">
        <v>342</v>
      </c>
    </row>
    <row r="52" spans="1:7" ht="14.5" x14ac:dyDescent="0.35">
      <c r="A52" s="5" t="s">
        <v>39</v>
      </c>
      <c r="B52" s="8">
        <v>0.5</v>
      </c>
      <c r="C52" s="6" t="s">
        <v>49</v>
      </c>
      <c r="D52" s="8">
        <f>F37</f>
        <v>28903.645833333332</v>
      </c>
      <c r="E52" s="8">
        <f t="shared" si="4"/>
        <v>14451.822916666666</v>
      </c>
      <c r="F52" s="6"/>
    </row>
    <row r="53" spans="1:7" ht="14.5" x14ac:dyDescent="0.35">
      <c r="A53" s="5"/>
      <c r="B53" s="6"/>
      <c r="C53" s="6"/>
      <c r="D53" s="6"/>
      <c r="E53" s="8">
        <v>0</v>
      </c>
      <c r="F53" s="6"/>
    </row>
    <row r="54" spans="1:7" ht="14.5" x14ac:dyDescent="0.35">
      <c r="A54" s="5"/>
      <c r="B54" s="6"/>
      <c r="C54" s="6"/>
      <c r="D54" s="6"/>
      <c r="E54" s="8">
        <v>0</v>
      </c>
      <c r="F54" s="6"/>
    </row>
    <row r="55" spans="1:7" ht="14.5" x14ac:dyDescent="0.35">
      <c r="A55" s="5"/>
      <c r="B55" s="6"/>
      <c r="C55" s="6"/>
      <c r="D55" s="6"/>
      <c r="E55" s="8">
        <v>0</v>
      </c>
      <c r="F55" s="6"/>
    </row>
    <row r="56" spans="1:7" ht="14.5" x14ac:dyDescent="0.35">
      <c r="A56" s="5"/>
      <c r="B56" s="6"/>
      <c r="C56" s="6"/>
      <c r="D56" s="6"/>
      <c r="E56" s="8">
        <v>0</v>
      </c>
      <c r="F56" s="6"/>
    </row>
    <row r="57" spans="1:7" ht="14.5" x14ac:dyDescent="0.35">
      <c r="A57" s="5"/>
      <c r="B57" s="6"/>
      <c r="C57" s="6"/>
      <c r="D57" s="6"/>
      <c r="E57" s="8">
        <v>0</v>
      </c>
      <c r="F57" s="6"/>
    </row>
    <row r="58" spans="1:7" ht="14.5" x14ac:dyDescent="0.35">
      <c r="A58" s="5"/>
      <c r="B58" s="6"/>
      <c r="C58" s="6"/>
      <c r="D58" s="6"/>
      <c r="E58" s="8">
        <v>0</v>
      </c>
      <c r="F58" s="6"/>
    </row>
    <row r="59" spans="1:7" ht="14.5" x14ac:dyDescent="0.35">
      <c r="A59" s="5"/>
      <c r="B59" s="6"/>
      <c r="C59" s="6"/>
      <c r="D59" s="6"/>
      <c r="E59" s="8">
        <v>0</v>
      </c>
      <c r="F59" s="6"/>
    </row>
    <row r="60" spans="1:7" ht="14.5" x14ac:dyDescent="0.35">
      <c r="A60" s="5"/>
      <c r="B60" s="6"/>
      <c r="C60" s="6"/>
      <c r="D60" s="6"/>
      <c r="E60" s="6"/>
      <c r="F60" s="6"/>
    </row>
    <row r="61" spans="1:7" ht="14.5" x14ac:dyDescent="0.35">
      <c r="A61" s="1" t="s">
        <v>51</v>
      </c>
      <c r="B61" s="2"/>
      <c r="C61" s="2"/>
      <c r="D61" s="2"/>
      <c r="E61" s="2"/>
      <c r="F61" s="4">
        <f>F70</f>
        <v>28945.3125</v>
      </c>
    </row>
    <row r="62" spans="1:7" ht="14.5" x14ac:dyDescent="0.35">
      <c r="A62" s="5"/>
      <c r="B62" s="6" t="s">
        <v>2</v>
      </c>
      <c r="C62" s="6"/>
      <c r="D62" s="6" t="s">
        <v>3</v>
      </c>
      <c r="E62" s="6" t="s">
        <v>4</v>
      </c>
      <c r="F62" s="6"/>
    </row>
    <row r="63" spans="1:7" ht="14.5" x14ac:dyDescent="0.35">
      <c r="A63" s="5" t="s">
        <v>39</v>
      </c>
      <c r="B63" s="8">
        <v>1</v>
      </c>
      <c r="C63" s="6" t="s">
        <v>28</v>
      </c>
      <c r="D63" s="10">
        <v>4750000</v>
      </c>
      <c r="E63" s="8">
        <f t="shared" ref="E63:E69" si="5">B63*D63</f>
        <v>4750000</v>
      </c>
      <c r="F63" s="6"/>
    </row>
    <row r="64" spans="1:7" ht="14.5" x14ac:dyDescent="0.35">
      <c r="A64" s="5" t="s">
        <v>29</v>
      </c>
      <c r="B64" s="8">
        <v>26</v>
      </c>
      <c r="C64" s="6" t="s">
        <v>30</v>
      </c>
      <c r="D64" s="10">
        <v>20000</v>
      </c>
      <c r="E64" s="8">
        <f t="shared" si="5"/>
        <v>520000</v>
      </c>
      <c r="F64" s="6"/>
    </row>
    <row r="65" spans="1:7" ht="14.5" x14ac:dyDescent="0.35">
      <c r="A65" s="5"/>
      <c r="B65" s="6"/>
      <c r="C65" s="6"/>
      <c r="D65" s="6"/>
      <c r="E65" s="8">
        <f t="shared" si="5"/>
        <v>0</v>
      </c>
      <c r="F65" s="6"/>
    </row>
    <row r="66" spans="1:7" ht="14.5" x14ac:dyDescent="0.35">
      <c r="A66" s="5" t="s">
        <v>32</v>
      </c>
      <c r="B66" s="8">
        <v>1</v>
      </c>
      <c r="C66" s="6" t="s">
        <v>28</v>
      </c>
      <c r="D66" s="8">
        <v>25000</v>
      </c>
      <c r="E66" s="8">
        <f t="shared" si="5"/>
        <v>25000</v>
      </c>
      <c r="F66" s="6"/>
    </row>
    <row r="67" spans="1:7" ht="14.5" x14ac:dyDescent="0.35">
      <c r="A67" s="5" t="s">
        <v>33</v>
      </c>
      <c r="B67" s="8">
        <v>0.03</v>
      </c>
      <c r="C67" s="6" t="s">
        <v>28</v>
      </c>
      <c r="D67" s="8">
        <v>250000</v>
      </c>
      <c r="E67" s="8">
        <f t="shared" si="5"/>
        <v>7500</v>
      </c>
      <c r="F67" s="6"/>
    </row>
    <row r="68" spans="1:7" ht="14.5" x14ac:dyDescent="0.35">
      <c r="A68" s="5" t="s">
        <v>43</v>
      </c>
      <c r="B68" s="8">
        <v>0.1</v>
      </c>
      <c r="C68" s="6" t="s">
        <v>28</v>
      </c>
      <c r="D68" s="10">
        <v>150000</v>
      </c>
      <c r="E68" s="8">
        <f t="shared" si="5"/>
        <v>15000</v>
      </c>
      <c r="F68" s="6"/>
      <c r="G68" s="12"/>
    </row>
    <row r="69" spans="1:7" ht="14.5" x14ac:dyDescent="0.35">
      <c r="A69" s="5" t="s">
        <v>34</v>
      </c>
      <c r="B69" s="8">
        <v>0.08</v>
      </c>
      <c r="C69" s="6" t="s">
        <v>28</v>
      </c>
      <c r="D69" s="10">
        <v>3000000</v>
      </c>
      <c r="E69" s="8">
        <f t="shared" si="5"/>
        <v>240000</v>
      </c>
      <c r="F69" s="6"/>
    </row>
    <row r="70" spans="1:7" ht="14.5" x14ac:dyDescent="0.35">
      <c r="A70" s="5"/>
      <c r="B70" s="6"/>
      <c r="C70" s="6"/>
      <c r="D70" s="8">
        <v>192</v>
      </c>
      <c r="E70" s="8">
        <f>SUM(E63:E69)</f>
        <v>5557500</v>
      </c>
      <c r="F70" s="8">
        <f>E70/D70</f>
        <v>28945.3125</v>
      </c>
    </row>
    <row r="71" spans="1:7" ht="14.5" x14ac:dyDescent="0.35">
      <c r="A71" s="5"/>
      <c r="B71" s="6"/>
      <c r="C71" s="6"/>
      <c r="D71" s="6"/>
      <c r="E71" s="8">
        <v>0</v>
      </c>
      <c r="F71" s="6"/>
    </row>
    <row r="72" spans="1:7" ht="14.5" x14ac:dyDescent="0.35">
      <c r="A72" s="5"/>
      <c r="B72" s="6"/>
      <c r="C72" s="6"/>
      <c r="D72" s="6"/>
      <c r="E72" s="6"/>
      <c r="F72" s="6"/>
    </row>
    <row r="73" spans="1:7" ht="14.5" x14ac:dyDescent="0.35">
      <c r="A73" s="1" t="s">
        <v>53</v>
      </c>
      <c r="B73" s="2"/>
      <c r="C73" s="2"/>
      <c r="D73" s="2"/>
      <c r="E73" s="2"/>
      <c r="F73" s="4">
        <f>SUM(E75:E84)</f>
        <v>4500000</v>
      </c>
    </row>
    <row r="74" spans="1:7" ht="14.5" x14ac:dyDescent="0.35">
      <c r="A74" s="5"/>
      <c r="B74" s="6" t="s">
        <v>2</v>
      </c>
      <c r="C74" s="6"/>
      <c r="D74" s="6" t="s">
        <v>3</v>
      </c>
      <c r="E74" s="6" t="s">
        <v>4</v>
      </c>
      <c r="F74" s="6"/>
    </row>
    <row r="75" spans="1:7" ht="14.5" x14ac:dyDescent="0.35">
      <c r="A75" s="5" t="s">
        <v>54</v>
      </c>
      <c r="B75" s="8">
        <v>1</v>
      </c>
      <c r="C75" s="6" t="s">
        <v>55</v>
      </c>
      <c r="D75" s="10">
        <v>4300000</v>
      </c>
      <c r="E75" s="8">
        <f t="shared" ref="E75:E76" si="6">B75*D75</f>
        <v>4300000</v>
      </c>
      <c r="F75" s="6"/>
    </row>
    <row r="76" spans="1:7" ht="14.5" x14ac:dyDescent="0.35">
      <c r="A76" s="5" t="s">
        <v>56</v>
      </c>
      <c r="B76" s="8">
        <v>1</v>
      </c>
      <c r="C76" s="6" t="s">
        <v>55</v>
      </c>
      <c r="D76" s="8">
        <v>200000</v>
      </c>
      <c r="E76" s="8">
        <f t="shared" si="6"/>
        <v>200000</v>
      </c>
      <c r="F76" s="6"/>
    </row>
    <row r="77" spans="1:7" ht="14.5" x14ac:dyDescent="0.35">
      <c r="A77" s="5"/>
      <c r="B77" s="8">
        <v>0</v>
      </c>
      <c r="C77" s="6"/>
      <c r="D77" s="8">
        <v>9000</v>
      </c>
      <c r="E77" s="8">
        <v>0</v>
      </c>
      <c r="F77" s="6"/>
    </row>
    <row r="78" spans="1:7" ht="14.5" x14ac:dyDescent="0.35">
      <c r="A78" s="5"/>
      <c r="B78" s="8">
        <v>0</v>
      </c>
      <c r="C78" s="6"/>
      <c r="D78" s="8">
        <v>0</v>
      </c>
      <c r="E78" s="8">
        <v>0</v>
      </c>
      <c r="F78" s="6"/>
    </row>
    <row r="79" spans="1:7" ht="14.5" x14ac:dyDescent="0.35">
      <c r="A79" s="5"/>
      <c r="B79" s="8">
        <v>0</v>
      </c>
      <c r="C79" s="6"/>
      <c r="D79" s="8">
        <v>0</v>
      </c>
      <c r="E79" s="8">
        <v>0</v>
      </c>
      <c r="F79" s="6"/>
    </row>
    <row r="80" spans="1:7" ht="14.5" x14ac:dyDescent="0.35">
      <c r="A80" s="5"/>
      <c r="B80" s="8">
        <v>0</v>
      </c>
      <c r="C80" s="6"/>
      <c r="D80" s="8">
        <v>0</v>
      </c>
      <c r="E80" s="8">
        <v>0</v>
      </c>
      <c r="F80" s="6"/>
    </row>
    <row r="81" spans="1:6" ht="14.5" x14ac:dyDescent="0.35">
      <c r="A81" s="5"/>
      <c r="B81" s="8">
        <v>0</v>
      </c>
      <c r="C81" s="6"/>
      <c r="D81" s="8">
        <v>0</v>
      </c>
      <c r="E81" s="8">
        <v>0</v>
      </c>
      <c r="F81" s="6"/>
    </row>
    <row r="82" spans="1:6" ht="14.5" x14ac:dyDescent="0.35">
      <c r="A82" s="5"/>
      <c r="B82" s="8">
        <v>0</v>
      </c>
      <c r="C82" s="6"/>
      <c r="D82" s="8">
        <v>0</v>
      </c>
      <c r="E82" s="8">
        <v>0</v>
      </c>
      <c r="F82" s="6"/>
    </row>
    <row r="83" spans="1:6" ht="14.5" x14ac:dyDescent="0.35">
      <c r="A83" s="5"/>
      <c r="B83" s="8">
        <v>0</v>
      </c>
      <c r="C83" s="6"/>
      <c r="D83" s="8">
        <v>0</v>
      </c>
      <c r="E83" s="8">
        <v>0</v>
      </c>
      <c r="F83" s="6"/>
    </row>
    <row r="84" spans="1:6" ht="14.5" x14ac:dyDescent="0.35">
      <c r="A84" s="5"/>
      <c r="B84" s="6"/>
      <c r="C84" s="6"/>
      <c r="D84" s="6"/>
      <c r="E84" s="6"/>
      <c r="F84" s="6"/>
    </row>
    <row r="85" spans="1:6" ht="14.5" x14ac:dyDescent="0.35">
      <c r="A85" s="1" t="s">
        <v>57</v>
      </c>
      <c r="B85" s="2"/>
      <c r="C85" s="2"/>
      <c r="D85" s="2"/>
      <c r="E85" s="2"/>
      <c r="F85" s="4">
        <f>SUM(E87:E96)</f>
        <v>1000</v>
      </c>
    </row>
    <row r="86" spans="1:6" ht="14.5" x14ac:dyDescent="0.35">
      <c r="A86" s="5"/>
      <c r="B86" s="6" t="s">
        <v>2</v>
      </c>
      <c r="C86" s="6"/>
      <c r="D86" s="6" t="s">
        <v>3</v>
      </c>
      <c r="E86" s="6" t="s">
        <v>4</v>
      </c>
      <c r="F86" s="6"/>
    </row>
    <row r="87" spans="1:6" ht="14.5" x14ac:dyDescent="0.35">
      <c r="A87" s="5" t="s">
        <v>57</v>
      </c>
      <c r="B87" s="8">
        <v>1</v>
      </c>
      <c r="C87" s="6" t="s">
        <v>59</v>
      </c>
      <c r="D87" s="8">
        <v>1000</v>
      </c>
      <c r="E87" s="8">
        <f>B87*D87</f>
        <v>1000</v>
      </c>
      <c r="F87" s="6"/>
    </row>
    <row r="88" spans="1:6" ht="14.5" x14ac:dyDescent="0.35">
      <c r="A88" s="5"/>
      <c r="B88" s="6"/>
      <c r="C88" s="6"/>
      <c r="D88" s="6"/>
      <c r="E88" s="8">
        <v>0</v>
      </c>
      <c r="F88" s="6"/>
    </row>
    <row r="89" spans="1:6" ht="14.5" x14ac:dyDescent="0.35">
      <c r="A89" s="5"/>
      <c r="B89" s="6"/>
      <c r="C89" s="6"/>
      <c r="D89" s="6"/>
      <c r="E89" s="8">
        <v>0</v>
      </c>
      <c r="F89" s="6"/>
    </row>
    <row r="90" spans="1:6" ht="14.5" x14ac:dyDescent="0.35">
      <c r="A90" s="5"/>
      <c r="B90" s="6"/>
      <c r="C90" s="6"/>
      <c r="D90" s="6"/>
      <c r="E90" s="8">
        <v>0</v>
      </c>
      <c r="F90" s="6"/>
    </row>
    <row r="91" spans="1:6" ht="14.5" x14ac:dyDescent="0.35">
      <c r="A91" s="5"/>
      <c r="B91" s="6"/>
      <c r="C91" s="6"/>
      <c r="D91" s="6"/>
      <c r="E91" s="8">
        <v>0</v>
      </c>
      <c r="F91" s="6"/>
    </row>
    <row r="92" spans="1:6" ht="14.5" x14ac:dyDescent="0.35">
      <c r="A92" s="5"/>
      <c r="B92" s="6"/>
      <c r="C92" s="6"/>
      <c r="D92" s="6"/>
      <c r="E92" s="8">
        <v>0</v>
      </c>
      <c r="F92" s="6"/>
    </row>
    <row r="93" spans="1:6" ht="14.5" x14ac:dyDescent="0.35">
      <c r="A93" s="5"/>
      <c r="B93" s="6"/>
      <c r="C93" s="6"/>
      <c r="D93" s="6"/>
      <c r="E93" s="8">
        <v>0</v>
      </c>
      <c r="F93" s="6"/>
    </row>
    <row r="94" spans="1:6" ht="14.5" x14ac:dyDescent="0.35">
      <c r="A94" s="5"/>
      <c r="B94" s="6"/>
      <c r="C94" s="6"/>
      <c r="D94" s="6"/>
      <c r="E94" s="8">
        <v>0</v>
      </c>
      <c r="F94" s="6"/>
    </row>
    <row r="95" spans="1:6" ht="14.5" x14ac:dyDescent="0.35">
      <c r="A95" s="5"/>
      <c r="B95" s="6"/>
      <c r="C95" s="6"/>
      <c r="D95" s="6"/>
      <c r="E95" s="8">
        <v>0</v>
      </c>
      <c r="F95" s="6"/>
    </row>
    <row r="96" spans="1:6" ht="14.5" x14ac:dyDescent="0.35">
      <c r="A96" s="5"/>
      <c r="B96" s="6"/>
      <c r="C96" s="6"/>
      <c r="D96" s="6"/>
      <c r="E96" s="6"/>
      <c r="F96" s="6"/>
    </row>
    <row r="97" spans="1:6" ht="14.5" x14ac:dyDescent="0.35">
      <c r="A97" s="1" t="s">
        <v>60</v>
      </c>
      <c r="B97" s="2"/>
      <c r="C97" s="2"/>
      <c r="D97" s="2"/>
      <c r="E97" s="2"/>
      <c r="F97" s="4">
        <f>SUM(E99:E108)</f>
        <v>10000</v>
      </c>
    </row>
    <row r="98" spans="1:6" ht="14.5" x14ac:dyDescent="0.35">
      <c r="A98" s="5"/>
      <c r="B98" s="6" t="s">
        <v>2</v>
      </c>
      <c r="C98" s="6"/>
      <c r="D98" s="6" t="s">
        <v>3</v>
      </c>
      <c r="E98" s="6" t="s">
        <v>4</v>
      </c>
      <c r="F98" s="6"/>
    </row>
    <row r="99" spans="1:6" ht="14.5" x14ac:dyDescent="0.35">
      <c r="A99" s="5" t="s">
        <v>60</v>
      </c>
      <c r="B99" s="8">
        <v>1</v>
      </c>
      <c r="C99" s="6" t="s">
        <v>62</v>
      </c>
      <c r="D99" s="10">
        <v>10000</v>
      </c>
      <c r="E99" s="8">
        <f>B99*D99</f>
        <v>10000</v>
      </c>
      <c r="F99" s="6"/>
    </row>
    <row r="100" spans="1:6" ht="14.5" x14ac:dyDescent="0.35">
      <c r="A100" s="5"/>
      <c r="B100" s="6"/>
      <c r="C100" s="6"/>
      <c r="D100" s="6"/>
      <c r="E100" s="8">
        <v>0</v>
      </c>
      <c r="F100" s="6"/>
    </row>
    <row r="101" spans="1:6" ht="14.5" x14ac:dyDescent="0.35">
      <c r="A101" s="5"/>
      <c r="B101" s="6"/>
      <c r="C101" s="6"/>
      <c r="D101" s="6"/>
      <c r="E101" s="8">
        <v>0</v>
      </c>
      <c r="F101" s="6"/>
    </row>
    <row r="102" spans="1:6" ht="14.5" x14ac:dyDescent="0.35">
      <c r="A102" s="5"/>
      <c r="B102" s="6"/>
      <c r="C102" s="6"/>
      <c r="D102" s="6"/>
      <c r="E102" s="8">
        <v>0</v>
      </c>
      <c r="F102" s="6"/>
    </row>
    <row r="103" spans="1:6" ht="14.5" x14ac:dyDescent="0.35">
      <c r="A103" s="5"/>
      <c r="B103" s="6"/>
      <c r="C103" s="6"/>
      <c r="D103" s="6"/>
      <c r="E103" s="8">
        <v>0</v>
      </c>
      <c r="F103" s="6"/>
    </row>
    <row r="104" spans="1:6" ht="14.5" x14ac:dyDescent="0.35">
      <c r="A104" s="5"/>
      <c r="B104" s="6"/>
      <c r="C104" s="6"/>
      <c r="D104" s="6"/>
      <c r="E104" s="8">
        <v>0</v>
      </c>
      <c r="F104" s="6"/>
    </row>
    <row r="105" spans="1:6" ht="14.5" x14ac:dyDescent="0.35">
      <c r="A105" s="5"/>
      <c r="B105" s="6"/>
      <c r="C105" s="6"/>
      <c r="D105" s="6"/>
      <c r="E105" s="8">
        <v>0</v>
      </c>
      <c r="F105" s="6"/>
    </row>
    <row r="106" spans="1:6" ht="14.5" x14ac:dyDescent="0.35">
      <c r="A106" s="5"/>
      <c r="B106" s="6"/>
      <c r="C106" s="6"/>
      <c r="D106" s="6"/>
      <c r="E106" s="8">
        <v>0</v>
      </c>
      <c r="F106" s="6"/>
    </row>
    <row r="107" spans="1:6" ht="14.5" x14ac:dyDescent="0.35">
      <c r="A107" s="5"/>
      <c r="B107" s="6"/>
      <c r="C107" s="6"/>
      <c r="D107" s="6"/>
      <c r="E107" s="8">
        <v>0</v>
      </c>
      <c r="F107" s="6"/>
    </row>
    <row r="108" spans="1:6" ht="14.5" x14ac:dyDescent="0.35">
      <c r="A108" s="5"/>
      <c r="B108" s="6"/>
      <c r="C108" s="6"/>
      <c r="D108" s="6"/>
      <c r="E108" s="6"/>
      <c r="F108" s="6"/>
    </row>
    <row r="109" spans="1:6" ht="14.5" x14ac:dyDescent="0.35">
      <c r="A109" s="1" t="s">
        <v>65</v>
      </c>
      <c r="B109" s="2"/>
      <c r="C109" s="2"/>
      <c r="D109" s="2"/>
      <c r="E109" s="2"/>
      <c r="F109" s="4">
        <f>SUM(E111:E120)</f>
        <v>5000</v>
      </c>
    </row>
    <row r="110" spans="1:6" ht="14.5" x14ac:dyDescent="0.35">
      <c r="A110" s="5"/>
      <c r="B110" s="6" t="s">
        <v>2</v>
      </c>
      <c r="C110" s="6"/>
      <c r="D110" s="6" t="s">
        <v>3</v>
      </c>
      <c r="E110" s="6" t="s">
        <v>4</v>
      </c>
      <c r="F110" s="6"/>
    </row>
    <row r="111" spans="1:6" ht="14.5" x14ac:dyDescent="0.35">
      <c r="A111" s="5" t="s">
        <v>65</v>
      </c>
      <c r="B111" s="8">
        <v>1</v>
      </c>
      <c r="C111" s="6" t="s">
        <v>62</v>
      </c>
      <c r="D111" s="10">
        <v>5000</v>
      </c>
      <c r="E111" s="8">
        <f>B111*D111</f>
        <v>5000</v>
      </c>
      <c r="F111" s="6"/>
    </row>
    <row r="112" spans="1:6" ht="14.5" x14ac:dyDescent="0.35">
      <c r="A112" s="5"/>
      <c r="B112" s="6"/>
      <c r="C112" s="6"/>
      <c r="D112" s="6"/>
      <c r="E112" s="8">
        <v>0</v>
      </c>
      <c r="F112" s="6"/>
    </row>
    <row r="113" spans="1:6" ht="14.5" x14ac:dyDescent="0.35">
      <c r="A113" s="5"/>
      <c r="B113" s="6"/>
      <c r="C113" s="6"/>
      <c r="D113" s="6"/>
      <c r="E113" s="8">
        <v>0</v>
      </c>
      <c r="F113" s="6"/>
    </row>
    <row r="114" spans="1:6" ht="14.5" x14ac:dyDescent="0.35">
      <c r="A114" s="5"/>
      <c r="B114" s="6"/>
      <c r="C114" s="6"/>
      <c r="D114" s="6"/>
      <c r="E114" s="8">
        <v>0</v>
      </c>
      <c r="F114" s="6"/>
    </row>
    <row r="115" spans="1:6" ht="14.5" x14ac:dyDescent="0.35">
      <c r="A115" s="5"/>
      <c r="B115" s="6"/>
      <c r="C115" s="6"/>
      <c r="D115" s="6"/>
      <c r="E115" s="8">
        <v>0</v>
      </c>
      <c r="F115" s="6"/>
    </row>
    <row r="116" spans="1:6" ht="14.5" x14ac:dyDescent="0.35">
      <c r="A116" s="5"/>
      <c r="B116" s="6"/>
      <c r="C116" s="6"/>
      <c r="D116" s="6"/>
      <c r="E116" s="8">
        <v>0</v>
      </c>
      <c r="F116" s="6"/>
    </row>
    <row r="117" spans="1:6" ht="14.5" x14ac:dyDescent="0.35">
      <c r="A117" s="5"/>
      <c r="B117" s="6"/>
      <c r="C117" s="6"/>
      <c r="D117" s="6"/>
      <c r="E117" s="8">
        <v>0</v>
      </c>
      <c r="F117" s="6"/>
    </row>
    <row r="118" spans="1:6" ht="14.5" x14ac:dyDescent="0.35">
      <c r="A118" s="5"/>
      <c r="B118" s="6"/>
      <c r="C118" s="6"/>
      <c r="D118" s="6"/>
      <c r="E118" s="8">
        <v>0</v>
      </c>
      <c r="F118" s="6"/>
    </row>
    <row r="119" spans="1:6" ht="14.5" x14ac:dyDescent="0.35">
      <c r="A119" s="5"/>
      <c r="B119" s="6"/>
      <c r="C119" s="6"/>
      <c r="D119" s="6"/>
      <c r="E119" s="8">
        <v>0</v>
      </c>
      <c r="F119" s="6"/>
    </row>
    <row r="120" spans="1:6" ht="14.5" x14ac:dyDescent="0.35">
      <c r="A120" s="5"/>
      <c r="B120" s="6"/>
      <c r="C120" s="6"/>
      <c r="D120" s="6"/>
      <c r="E120" s="6"/>
      <c r="F120" s="6"/>
    </row>
    <row r="121" spans="1:6" ht="14.5" x14ac:dyDescent="0.35">
      <c r="A121" s="1" t="s">
        <v>68</v>
      </c>
      <c r="B121" s="2"/>
      <c r="C121" s="2"/>
      <c r="D121" s="2"/>
      <c r="E121" s="2"/>
      <c r="F121" s="4">
        <f>SUM(E123:E132)</f>
        <v>50000</v>
      </c>
    </row>
    <row r="122" spans="1:6" ht="14.5" x14ac:dyDescent="0.35">
      <c r="A122" s="5"/>
      <c r="B122" s="6" t="s">
        <v>2</v>
      </c>
      <c r="C122" s="6"/>
      <c r="D122" s="6" t="s">
        <v>3</v>
      </c>
      <c r="E122" s="6" t="s">
        <v>4</v>
      </c>
      <c r="F122" s="6"/>
    </row>
    <row r="123" spans="1:6" ht="14.5" x14ac:dyDescent="0.35">
      <c r="A123" s="5" t="s">
        <v>68</v>
      </c>
      <c r="B123" s="8">
        <v>1</v>
      </c>
      <c r="C123" s="6" t="s">
        <v>69</v>
      </c>
      <c r="D123" s="35">
        <v>50000</v>
      </c>
      <c r="E123" s="8">
        <f>B123*D123</f>
        <v>50000</v>
      </c>
      <c r="F123" s="6"/>
    </row>
    <row r="124" spans="1:6" ht="14.5" x14ac:dyDescent="0.35">
      <c r="A124" s="5"/>
      <c r="B124" s="6"/>
      <c r="C124" s="6"/>
      <c r="D124" s="6"/>
      <c r="E124" s="8">
        <v>0</v>
      </c>
      <c r="F124" s="6"/>
    </row>
    <row r="125" spans="1:6" ht="14.5" x14ac:dyDescent="0.35">
      <c r="A125" s="5"/>
      <c r="B125" s="6"/>
      <c r="C125" s="6"/>
      <c r="D125" s="6"/>
      <c r="E125" s="8">
        <v>0</v>
      </c>
      <c r="F125" s="6"/>
    </row>
    <row r="126" spans="1:6" ht="14.5" x14ac:dyDescent="0.35">
      <c r="A126" s="5"/>
      <c r="B126" s="6"/>
      <c r="C126" s="6"/>
      <c r="D126" s="6"/>
      <c r="E126" s="8">
        <v>0</v>
      </c>
      <c r="F126" s="6"/>
    </row>
    <row r="127" spans="1:6" ht="14.5" x14ac:dyDescent="0.35">
      <c r="A127" s="5"/>
      <c r="B127" s="6"/>
      <c r="C127" s="6"/>
      <c r="D127" s="6"/>
      <c r="E127" s="8">
        <v>0</v>
      </c>
      <c r="F127" s="6"/>
    </row>
    <row r="128" spans="1:6" ht="14.5" x14ac:dyDescent="0.35">
      <c r="A128" s="5"/>
      <c r="B128" s="6"/>
      <c r="C128" s="6"/>
      <c r="D128" s="6"/>
      <c r="E128" s="8">
        <v>0</v>
      </c>
      <c r="F128" s="6"/>
    </row>
    <row r="129" spans="1:6" ht="14.5" x14ac:dyDescent="0.35">
      <c r="A129" s="5"/>
      <c r="B129" s="6"/>
      <c r="C129" s="6"/>
      <c r="D129" s="6"/>
      <c r="E129" s="8">
        <v>0</v>
      </c>
      <c r="F129" s="6"/>
    </row>
    <row r="130" spans="1:6" ht="14.5" x14ac:dyDescent="0.35">
      <c r="A130" s="5"/>
      <c r="B130" s="6"/>
      <c r="C130" s="6"/>
      <c r="D130" s="6"/>
      <c r="E130" s="8">
        <v>0</v>
      </c>
      <c r="F130" s="6"/>
    </row>
    <row r="131" spans="1:6" ht="14.5" x14ac:dyDescent="0.35">
      <c r="A131" s="5"/>
      <c r="B131" s="6"/>
      <c r="C131" s="6"/>
      <c r="D131" s="6"/>
      <c r="E131" s="8">
        <v>0</v>
      </c>
      <c r="F131" s="6"/>
    </row>
    <row r="132" spans="1:6" ht="14.5" x14ac:dyDescent="0.35">
      <c r="A132" s="5"/>
      <c r="B132" s="6"/>
      <c r="C132" s="6"/>
      <c r="D132" s="6"/>
      <c r="E132" s="6"/>
      <c r="F132" s="6"/>
    </row>
    <row r="133" spans="1:6" ht="14.5" x14ac:dyDescent="0.35">
      <c r="A133" s="1" t="s">
        <v>72</v>
      </c>
      <c r="B133" s="2"/>
      <c r="C133" s="2"/>
      <c r="D133" s="2"/>
      <c r="E133" s="2"/>
      <c r="F133" s="4">
        <f>SUM(E135:E144)</f>
        <v>20000</v>
      </c>
    </row>
    <row r="134" spans="1:6" ht="14.5" x14ac:dyDescent="0.35">
      <c r="A134" s="5"/>
      <c r="B134" s="6" t="s">
        <v>2</v>
      </c>
      <c r="C134" s="6"/>
      <c r="D134" s="6" t="s">
        <v>3</v>
      </c>
      <c r="E134" s="6" t="s">
        <v>4</v>
      </c>
      <c r="F134" s="6"/>
    </row>
    <row r="135" spans="1:6" ht="14.5" x14ac:dyDescent="0.35">
      <c r="A135" s="5" t="s">
        <v>72</v>
      </c>
      <c r="B135" s="8">
        <v>1</v>
      </c>
      <c r="C135" s="6" t="s">
        <v>69</v>
      </c>
      <c r="D135" s="10">
        <v>20000</v>
      </c>
      <c r="E135" s="8">
        <f>B135*D135</f>
        <v>20000</v>
      </c>
      <c r="F135" s="6"/>
    </row>
    <row r="136" spans="1:6" ht="14.5" x14ac:dyDescent="0.35">
      <c r="A136" s="5"/>
      <c r="B136" s="6"/>
      <c r="C136" s="6"/>
      <c r="D136" s="6"/>
      <c r="E136" s="8">
        <v>0</v>
      </c>
      <c r="F136" s="6"/>
    </row>
    <row r="137" spans="1:6" ht="14.5" x14ac:dyDescent="0.35">
      <c r="A137" s="5"/>
      <c r="B137" s="6"/>
      <c r="C137" s="6"/>
      <c r="D137" s="6"/>
      <c r="E137" s="8">
        <v>0</v>
      </c>
      <c r="F137" s="6"/>
    </row>
    <row r="138" spans="1:6" ht="14.5" x14ac:dyDescent="0.35">
      <c r="A138" s="5"/>
      <c r="B138" s="6"/>
      <c r="C138" s="6"/>
      <c r="D138" s="6"/>
      <c r="E138" s="8">
        <v>0</v>
      </c>
      <c r="F138" s="6"/>
    </row>
    <row r="139" spans="1:6" ht="14.5" x14ac:dyDescent="0.35">
      <c r="A139" s="5"/>
      <c r="B139" s="6"/>
      <c r="C139" s="6"/>
      <c r="D139" s="6"/>
      <c r="E139" s="8">
        <v>0</v>
      </c>
      <c r="F139" s="6"/>
    </row>
    <row r="140" spans="1:6" ht="14.5" x14ac:dyDescent="0.35">
      <c r="A140" s="5"/>
      <c r="B140" s="6"/>
      <c r="C140" s="6"/>
      <c r="D140" s="6"/>
      <c r="E140" s="8">
        <v>0</v>
      </c>
      <c r="F140" s="6"/>
    </row>
    <row r="141" spans="1:6" ht="14.5" x14ac:dyDescent="0.35">
      <c r="A141" s="5"/>
      <c r="B141" s="6"/>
      <c r="C141" s="6"/>
      <c r="D141" s="6"/>
      <c r="E141" s="8">
        <v>0</v>
      </c>
      <c r="F141" s="6"/>
    </row>
    <row r="142" spans="1:6" ht="14.5" x14ac:dyDescent="0.35">
      <c r="A142" s="5"/>
      <c r="B142" s="6"/>
      <c r="C142" s="6"/>
      <c r="D142" s="6"/>
      <c r="E142" s="8">
        <v>0</v>
      </c>
      <c r="F142" s="6"/>
    </row>
    <row r="143" spans="1:6" ht="14.5" x14ac:dyDescent="0.35">
      <c r="A143" s="5"/>
      <c r="B143" s="6"/>
      <c r="C143" s="6"/>
      <c r="D143" s="6"/>
      <c r="E143" s="8">
        <v>0</v>
      </c>
      <c r="F143" s="6"/>
    </row>
    <row r="144" spans="1:6" ht="14.5" x14ac:dyDescent="0.35">
      <c r="A144" s="5"/>
      <c r="B144" s="6"/>
      <c r="C144" s="6"/>
      <c r="D144" s="6"/>
      <c r="E144" s="6"/>
      <c r="F144" s="6"/>
    </row>
    <row r="145" spans="1:7" ht="14.5" x14ac:dyDescent="0.35">
      <c r="A145" s="1"/>
      <c r="B145" s="2"/>
      <c r="C145" s="2"/>
      <c r="D145" s="2"/>
      <c r="E145" s="2"/>
      <c r="F145" s="4">
        <f>SUM(E147:E156)</f>
        <v>20050</v>
      </c>
    </row>
    <row r="146" spans="1:7" ht="14.5" x14ac:dyDescent="0.35">
      <c r="A146" s="5"/>
      <c r="B146" s="6" t="s">
        <v>2</v>
      </c>
      <c r="C146" s="6"/>
      <c r="D146" s="6" t="s">
        <v>3</v>
      </c>
      <c r="E146" s="6" t="s">
        <v>4</v>
      </c>
      <c r="F146" s="6"/>
    </row>
    <row r="147" spans="1:7" ht="14.5" x14ac:dyDescent="0.35">
      <c r="A147" s="39" t="s">
        <v>81</v>
      </c>
      <c r="B147" s="10">
        <v>0.04</v>
      </c>
      <c r="C147" s="6" t="s">
        <v>7</v>
      </c>
      <c r="D147" s="10">
        <v>125000</v>
      </c>
      <c r="E147" s="8">
        <f t="shared" ref="E147:E149" si="7">B147*D147</f>
        <v>5000</v>
      </c>
      <c r="F147" s="6"/>
    </row>
    <row r="148" spans="1:7" ht="14.5" x14ac:dyDescent="0.35">
      <c r="A148" s="5" t="s">
        <v>85</v>
      </c>
      <c r="B148" s="8">
        <v>1</v>
      </c>
      <c r="C148" s="6" t="s">
        <v>7</v>
      </c>
      <c r="D148" s="10">
        <v>10200</v>
      </c>
      <c r="E148" s="8">
        <f t="shared" si="7"/>
        <v>10200</v>
      </c>
      <c r="F148" s="6"/>
      <c r="G148" s="12" t="s">
        <v>86</v>
      </c>
    </row>
    <row r="149" spans="1:7" ht="14.5" x14ac:dyDescent="0.35">
      <c r="A149" s="5" t="s">
        <v>87</v>
      </c>
      <c r="B149" s="8">
        <v>0.5</v>
      </c>
      <c r="C149" s="6" t="s">
        <v>7</v>
      </c>
      <c r="D149" s="10">
        <v>9700</v>
      </c>
      <c r="E149" s="8">
        <f t="shared" si="7"/>
        <v>4850</v>
      </c>
      <c r="F149" s="6"/>
      <c r="G149" s="12" t="s">
        <v>88</v>
      </c>
    </row>
    <row r="150" spans="1:7" ht="14.5" x14ac:dyDescent="0.35">
      <c r="A150" s="5" t="s">
        <v>89</v>
      </c>
      <c r="B150" s="8">
        <v>0</v>
      </c>
      <c r="C150" s="6" t="s">
        <v>90</v>
      </c>
      <c r="D150" s="8">
        <v>0</v>
      </c>
      <c r="E150" s="8">
        <v>0</v>
      </c>
      <c r="F150" s="6"/>
    </row>
    <row r="151" spans="1:7" ht="14.5" x14ac:dyDescent="0.35">
      <c r="A151" s="5" t="s">
        <v>89</v>
      </c>
      <c r="B151" s="8">
        <v>0</v>
      </c>
      <c r="C151" s="6" t="s">
        <v>90</v>
      </c>
      <c r="D151" s="8">
        <v>0</v>
      </c>
      <c r="E151" s="8">
        <v>0</v>
      </c>
      <c r="F151" s="6"/>
    </row>
    <row r="152" spans="1:7" ht="14.5" x14ac:dyDescent="0.35">
      <c r="A152" s="5" t="s">
        <v>89</v>
      </c>
      <c r="B152" s="8">
        <v>0</v>
      </c>
      <c r="C152" s="6" t="s">
        <v>90</v>
      </c>
      <c r="D152" s="8">
        <v>0</v>
      </c>
      <c r="E152" s="8">
        <v>0</v>
      </c>
      <c r="F152" s="6"/>
    </row>
    <row r="153" spans="1:7" ht="14.5" x14ac:dyDescent="0.35">
      <c r="A153" s="5" t="s">
        <v>89</v>
      </c>
      <c r="B153" s="8">
        <v>0</v>
      </c>
      <c r="C153" s="6" t="s">
        <v>90</v>
      </c>
      <c r="D153" s="8">
        <v>0</v>
      </c>
      <c r="E153" s="8">
        <v>0</v>
      </c>
      <c r="F153" s="6"/>
    </row>
    <row r="154" spans="1:7" ht="14.5" x14ac:dyDescent="0.35">
      <c r="A154" s="5" t="s">
        <v>89</v>
      </c>
      <c r="B154" s="8">
        <v>0</v>
      </c>
      <c r="C154" s="6" t="s">
        <v>90</v>
      </c>
      <c r="D154" s="8">
        <v>0</v>
      </c>
      <c r="E154" s="8">
        <v>0</v>
      </c>
      <c r="F154" s="6"/>
    </row>
    <row r="155" spans="1:7" ht="14.5" x14ac:dyDescent="0.35">
      <c r="A155" s="5" t="s">
        <v>89</v>
      </c>
      <c r="B155" s="8">
        <v>0</v>
      </c>
      <c r="C155" s="6" t="s">
        <v>90</v>
      </c>
      <c r="D155" s="8">
        <v>0</v>
      </c>
      <c r="E155" s="8">
        <v>0</v>
      </c>
      <c r="F155" s="6"/>
    </row>
    <row r="156" spans="1:7" ht="14.5" x14ac:dyDescent="0.35">
      <c r="A156" s="5"/>
      <c r="B156" s="6"/>
      <c r="C156" s="6"/>
      <c r="D156" s="6"/>
      <c r="E156" s="6"/>
      <c r="F156" s="6"/>
    </row>
    <row r="157" spans="1:7" ht="14.5" x14ac:dyDescent="0.35">
      <c r="A157" s="1"/>
      <c r="B157" s="2"/>
      <c r="C157" s="2"/>
      <c r="D157" s="2"/>
      <c r="E157" s="2"/>
      <c r="F157" s="4">
        <f>SUM(E159:E168)</f>
        <v>19850</v>
      </c>
    </row>
    <row r="158" spans="1:7" ht="14.5" x14ac:dyDescent="0.35">
      <c r="A158" s="5"/>
      <c r="B158" s="6" t="s">
        <v>2</v>
      </c>
      <c r="C158" s="6"/>
      <c r="D158" s="6" t="s">
        <v>3</v>
      </c>
      <c r="E158" s="6" t="s">
        <v>4</v>
      </c>
      <c r="F158" s="6"/>
    </row>
    <row r="159" spans="1:7" ht="14.5" x14ac:dyDescent="0.35">
      <c r="A159" s="39" t="s">
        <v>81</v>
      </c>
      <c r="B159" s="10">
        <v>0.04</v>
      </c>
      <c r="C159" s="6" t="s">
        <v>7</v>
      </c>
      <c r="D159" s="10">
        <v>120000</v>
      </c>
      <c r="E159" s="8">
        <f t="shared" ref="E159:E161" si="8">B159*D159</f>
        <v>4800</v>
      </c>
      <c r="F159" s="6"/>
    </row>
    <row r="160" spans="1:7" ht="14.5" x14ac:dyDescent="0.35">
      <c r="A160" s="5" t="s">
        <v>85</v>
      </c>
      <c r="B160" s="8">
        <v>1</v>
      </c>
      <c r="C160" s="6" t="s">
        <v>7</v>
      </c>
      <c r="D160" s="10">
        <v>10200</v>
      </c>
      <c r="E160" s="8">
        <f t="shared" si="8"/>
        <v>10200</v>
      </c>
      <c r="F160" s="6"/>
    </row>
    <row r="161" spans="1:6" ht="14.5" x14ac:dyDescent="0.35">
      <c r="A161" s="5" t="s">
        <v>87</v>
      </c>
      <c r="B161" s="8">
        <v>0.5</v>
      </c>
      <c r="C161" s="6" t="s">
        <v>7</v>
      </c>
      <c r="D161" s="10">
        <v>9700</v>
      </c>
      <c r="E161" s="8">
        <f t="shared" si="8"/>
        <v>4850</v>
      </c>
      <c r="F161" s="6"/>
    </row>
    <row r="162" spans="1:6" ht="14.5" x14ac:dyDescent="0.35">
      <c r="A162" s="5" t="s">
        <v>89</v>
      </c>
      <c r="B162" s="8">
        <v>0</v>
      </c>
      <c r="C162" s="6" t="s">
        <v>90</v>
      </c>
      <c r="D162" s="8">
        <v>0</v>
      </c>
      <c r="E162" s="8">
        <v>0</v>
      </c>
      <c r="F162" s="6"/>
    </row>
    <row r="163" spans="1:6" ht="14.5" x14ac:dyDescent="0.35">
      <c r="A163" s="5" t="s">
        <v>89</v>
      </c>
      <c r="B163" s="8">
        <v>0</v>
      </c>
      <c r="C163" s="6" t="s">
        <v>90</v>
      </c>
      <c r="D163" s="8">
        <v>0</v>
      </c>
      <c r="E163" s="8">
        <v>0</v>
      </c>
      <c r="F163" s="6"/>
    </row>
    <row r="164" spans="1:6" ht="14.5" x14ac:dyDescent="0.35">
      <c r="A164" s="5" t="s">
        <v>89</v>
      </c>
      <c r="B164" s="8">
        <v>0</v>
      </c>
      <c r="C164" s="6" t="s">
        <v>90</v>
      </c>
      <c r="D164" s="8">
        <v>0</v>
      </c>
      <c r="E164" s="8">
        <v>0</v>
      </c>
      <c r="F164" s="6"/>
    </row>
    <row r="165" spans="1:6" ht="14.5" x14ac:dyDescent="0.35">
      <c r="A165" s="5" t="s">
        <v>89</v>
      </c>
      <c r="B165" s="8">
        <v>0</v>
      </c>
      <c r="C165" s="6" t="s">
        <v>90</v>
      </c>
      <c r="D165" s="8">
        <v>0</v>
      </c>
      <c r="E165" s="8">
        <v>0</v>
      </c>
      <c r="F165" s="6"/>
    </row>
    <row r="166" spans="1:6" ht="14.5" x14ac:dyDescent="0.35">
      <c r="A166" s="5" t="s">
        <v>89</v>
      </c>
      <c r="B166" s="8">
        <v>0</v>
      </c>
      <c r="C166" s="6" t="s">
        <v>90</v>
      </c>
      <c r="D166" s="8">
        <v>0</v>
      </c>
      <c r="E166" s="8">
        <v>0</v>
      </c>
      <c r="F166" s="6"/>
    </row>
    <row r="167" spans="1:6" ht="14.5" x14ac:dyDescent="0.35">
      <c r="A167" s="5" t="s">
        <v>89</v>
      </c>
      <c r="B167" s="8">
        <v>0</v>
      </c>
      <c r="C167" s="6" t="s">
        <v>90</v>
      </c>
      <c r="D167" s="8">
        <v>0</v>
      </c>
      <c r="E167" s="8">
        <v>0</v>
      </c>
      <c r="F167" s="6"/>
    </row>
    <row r="168" spans="1:6" ht="14.5" x14ac:dyDescent="0.35">
      <c r="A168" s="5"/>
      <c r="B168" s="6"/>
      <c r="C168" s="6"/>
      <c r="D168" s="6"/>
      <c r="E168" s="6"/>
      <c r="F168" s="6"/>
    </row>
    <row r="169" spans="1:6" ht="14.5" x14ac:dyDescent="0.35">
      <c r="A169" s="1"/>
      <c r="B169" s="2"/>
      <c r="C169" s="2"/>
      <c r="D169" s="2"/>
      <c r="E169" s="2"/>
      <c r="F169" s="4">
        <f>SUM(E171:E180)</f>
        <v>19850</v>
      </c>
    </row>
    <row r="170" spans="1:6" ht="14.5" x14ac:dyDescent="0.35">
      <c r="A170" s="5"/>
      <c r="B170" s="6" t="s">
        <v>2</v>
      </c>
      <c r="C170" s="6"/>
      <c r="D170" s="6" t="s">
        <v>3</v>
      </c>
      <c r="E170" s="6" t="s">
        <v>4</v>
      </c>
      <c r="F170" s="6"/>
    </row>
    <row r="171" spans="1:6" ht="14.5" x14ac:dyDescent="0.35">
      <c r="A171" s="39" t="s">
        <v>81</v>
      </c>
      <c r="B171" s="10">
        <v>0.04</v>
      </c>
      <c r="C171" s="6" t="s">
        <v>7</v>
      </c>
      <c r="D171" s="10">
        <v>120000</v>
      </c>
      <c r="E171" s="8">
        <f t="shared" ref="E171:E173" si="9">B171*D171</f>
        <v>4800</v>
      </c>
      <c r="F171" s="6"/>
    </row>
    <row r="172" spans="1:6" ht="14.5" x14ac:dyDescent="0.35">
      <c r="A172" s="5" t="s">
        <v>85</v>
      </c>
      <c r="B172" s="8">
        <v>1</v>
      </c>
      <c r="C172" s="6" t="s">
        <v>7</v>
      </c>
      <c r="D172" s="10">
        <v>10200</v>
      </c>
      <c r="E172" s="8">
        <f t="shared" si="9"/>
        <v>10200</v>
      </c>
      <c r="F172" s="6"/>
    </row>
    <row r="173" spans="1:6" ht="14.5" x14ac:dyDescent="0.35">
      <c r="A173" s="5" t="s">
        <v>87</v>
      </c>
      <c r="B173" s="8">
        <v>0.5</v>
      </c>
      <c r="C173" s="6" t="s">
        <v>7</v>
      </c>
      <c r="D173" s="10">
        <v>9700</v>
      </c>
      <c r="E173" s="8">
        <f t="shared" si="9"/>
        <v>4850</v>
      </c>
      <c r="F173" s="6"/>
    </row>
    <row r="174" spans="1:6" ht="14.5" x14ac:dyDescent="0.35">
      <c r="A174" s="5" t="s">
        <v>89</v>
      </c>
      <c r="B174" s="8">
        <v>0</v>
      </c>
      <c r="C174" s="6" t="s">
        <v>90</v>
      </c>
      <c r="D174" s="8">
        <v>0</v>
      </c>
      <c r="E174" s="8">
        <v>0</v>
      </c>
      <c r="F174" s="6"/>
    </row>
    <row r="175" spans="1:6" ht="14.5" x14ac:dyDescent="0.35">
      <c r="A175" s="5" t="s">
        <v>89</v>
      </c>
      <c r="B175" s="8">
        <v>0</v>
      </c>
      <c r="C175" s="6" t="s">
        <v>90</v>
      </c>
      <c r="D175" s="8">
        <v>0</v>
      </c>
      <c r="E175" s="8">
        <v>0</v>
      </c>
      <c r="F175" s="6"/>
    </row>
    <row r="176" spans="1:6" ht="14.5" x14ac:dyDescent="0.35">
      <c r="A176" s="5" t="s">
        <v>89</v>
      </c>
      <c r="B176" s="8">
        <v>0</v>
      </c>
      <c r="C176" s="6" t="s">
        <v>90</v>
      </c>
      <c r="D176" s="8">
        <v>0</v>
      </c>
      <c r="E176" s="8">
        <v>0</v>
      </c>
      <c r="F176" s="6"/>
    </row>
    <row r="177" spans="1:6" ht="14.5" x14ac:dyDescent="0.35">
      <c r="A177" s="5" t="s">
        <v>89</v>
      </c>
      <c r="B177" s="8">
        <v>0</v>
      </c>
      <c r="C177" s="6" t="s">
        <v>90</v>
      </c>
      <c r="D177" s="8">
        <v>0</v>
      </c>
      <c r="E177" s="8">
        <v>0</v>
      </c>
      <c r="F177" s="6"/>
    </row>
    <row r="178" spans="1:6" ht="14.5" x14ac:dyDescent="0.35">
      <c r="A178" s="5" t="s">
        <v>89</v>
      </c>
      <c r="B178" s="8">
        <v>0</v>
      </c>
      <c r="C178" s="6" t="s">
        <v>90</v>
      </c>
      <c r="D178" s="8">
        <v>0</v>
      </c>
      <c r="E178" s="8">
        <v>0</v>
      </c>
      <c r="F178" s="6"/>
    </row>
    <row r="179" spans="1:6" ht="14.5" x14ac:dyDescent="0.35">
      <c r="A179" s="5" t="s">
        <v>89</v>
      </c>
      <c r="B179" s="8">
        <v>0</v>
      </c>
      <c r="C179" s="6" t="s">
        <v>90</v>
      </c>
      <c r="D179" s="8">
        <v>0</v>
      </c>
      <c r="E179" s="8">
        <v>0</v>
      </c>
      <c r="F179" s="6"/>
    </row>
    <row r="180" spans="1:6" ht="14.5" x14ac:dyDescent="0.35">
      <c r="A180" s="5"/>
      <c r="B180" s="6"/>
      <c r="C180" s="6"/>
      <c r="D180" s="6"/>
      <c r="E180" s="6"/>
      <c r="F180" s="6"/>
    </row>
    <row r="181" spans="1:6" ht="14.5" x14ac:dyDescent="0.35">
      <c r="A181" s="1"/>
      <c r="B181" s="2"/>
      <c r="C181" s="2"/>
      <c r="D181" s="2"/>
      <c r="E181" s="2"/>
      <c r="F181" s="4">
        <f>SUM(E183:E192)</f>
        <v>17850</v>
      </c>
    </row>
    <row r="182" spans="1:6" ht="14.5" x14ac:dyDescent="0.35">
      <c r="A182" s="5"/>
      <c r="B182" s="6" t="s">
        <v>2</v>
      </c>
      <c r="C182" s="6"/>
      <c r="D182" s="6" t="s">
        <v>3</v>
      </c>
      <c r="E182" s="6" t="s">
        <v>4</v>
      </c>
      <c r="F182" s="6"/>
    </row>
    <row r="183" spans="1:6" ht="14.5" x14ac:dyDescent="0.35">
      <c r="A183" s="5" t="s">
        <v>97</v>
      </c>
      <c r="B183" s="8">
        <v>0.02</v>
      </c>
      <c r="C183" s="6" t="s">
        <v>7</v>
      </c>
      <c r="D183" s="8">
        <v>140000</v>
      </c>
      <c r="E183" s="8">
        <f t="shared" ref="E183:E185" si="10">B183*D183</f>
        <v>2800</v>
      </c>
      <c r="F183" s="6"/>
    </row>
    <row r="184" spans="1:6" ht="14.5" x14ac:dyDescent="0.35">
      <c r="A184" s="5" t="s">
        <v>85</v>
      </c>
      <c r="B184" s="8">
        <v>1</v>
      </c>
      <c r="C184" s="6" t="s">
        <v>7</v>
      </c>
      <c r="D184" s="8">
        <v>10200</v>
      </c>
      <c r="E184" s="8">
        <f t="shared" si="10"/>
        <v>10200</v>
      </c>
      <c r="F184" s="6"/>
    </row>
    <row r="185" spans="1:6" ht="14.5" x14ac:dyDescent="0.35">
      <c r="A185" s="5" t="s">
        <v>87</v>
      </c>
      <c r="B185" s="8">
        <v>0.5</v>
      </c>
      <c r="C185" s="6" t="s">
        <v>7</v>
      </c>
      <c r="D185" s="8">
        <v>9700</v>
      </c>
      <c r="E185" s="8">
        <f t="shared" si="10"/>
        <v>4850</v>
      </c>
      <c r="F185" s="6"/>
    </row>
    <row r="186" spans="1:6" ht="14.5" x14ac:dyDescent="0.35">
      <c r="A186" s="5" t="s">
        <v>89</v>
      </c>
      <c r="B186" s="8">
        <v>0</v>
      </c>
      <c r="C186" s="6" t="s">
        <v>90</v>
      </c>
      <c r="D186" s="8">
        <v>0</v>
      </c>
      <c r="E186" s="8">
        <v>0</v>
      </c>
      <c r="F186" s="6"/>
    </row>
    <row r="187" spans="1:6" ht="14.5" x14ac:dyDescent="0.35">
      <c r="A187" s="5" t="s">
        <v>89</v>
      </c>
      <c r="B187" s="8">
        <v>0</v>
      </c>
      <c r="C187" s="6" t="s">
        <v>90</v>
      </c>
      <c r="D187" s="8">
        <v>0</v>
      </c>
      <c r="E187" s="8">
        <v>0</v>
      </c>
      <c r="F187" s="6"/>
    </row>
    <row r="188" spans="1:6" ht="14.5" x14ac:dyDescent="0.35">
      <c r="A188" s="5" t="s">
        <v>89</v>
      </c>
      <c r="B188" s="8">
        <v>0</v>
      </c>
      <c r="C188" s="6" t="s">
        <v>90</v>
      </c>
      <c r="D188" s="8">
        <v>0</v>
      </c>
      <c r="E188" s="8">
        <v>0</v>
      </c>
      <c r="F188" s="6"/>
    </row>
    <row r="189" spans="1:6" ht="14.5" x14ac:dyDescent="0.35">
      <c r="A189" s="5" t="s">
        <v>89</v>
      </c>
      <c r="B189" s="8">
        <v>0</v>
      </c>
      <c r="C189" s="6" t="s">
        <v>90</v>
      </c>
      <c r="D189" s="8">
        <v>0</v>
      </c>
      <c r="E189" s="8">
        <v>0</v>
      </c>
      <c r="F189" s="6"/>
    </row>
    <row r="190" spans="1:6" ht="14.5" x14ac:dyDescent="0.35">
      <c r="A190" s="5" t="s">
        <v>89</v>
      </c>
      <c r="B190" s="8">
        <v>0</v>
      </c>
      <c r="C190" s="6" t="s">
        <v>90</v>
      </c>
      <c r="D190" s="8">
        <v>0</v>
      </c>
      <c r="E190" s="8">
        <v>0</v>
      </c>
      <c r="F190" s="6"/>
    </row>
    <row r="191" spans="1:6" ht="14.5" x14ac:dyDescent="0.35">
      <c r="A191" s="5" t="s">
        <v>89</v>
      </c>
      <c r="B191" s="8">
        <v>0</v>
      </c>
      <c r="C191" s="6" t="s">
        <v>90</v>
      </c>
      <c r="D191" s="8">
        <v>0</v>
      </c>
      <c r="E191" s="8">
        <v>0</v>
      </c>
      <c r="F191" s="6"/>
    </row>
    <row r="192" spans="1:6" ht="14.5" x14ac:dyDescent="0.35">
      <c r="A192" s="5"/>
      <c r="B192" s="6"/>
      <c r="C192" s="6"/>
      <c r="D192" s="6"/>
      <c r="E192" s="6"/>
      <c r="F192" s="6"/>
    </row>
    <row r="193" spans="1:6" ht="14.5" x14ac:dyDescent="0.35">
      <c r="A193" s="1"/>
      <c r="B193" s="2"/>
      <c r="C193" s="2"/>
      <c r="D193" s="2"/>
      <c r="E193" s="2"/>
      <c r="F193" s="4">
        <f>SUM(E195:E204)</f>
        <v>11800</v>
      </c>
    </row>
    <row r="194" spans="1:6" ht="14.5" x14ac:dyDescent="0.35">
      <c r="A194" s="5"/>
      <c r="B194" s="6" t="s">
        <v>2</v>
      </c>
      <c r="C194" s="6"/>
      <c r="D194" s="6" t="s">
        <v>3</v>
      </c>
      <c r="E194" s="6" t="s">
        <v>4</v>
      </c>
      <c r="F194" s="6"/>
    </row>
    <row r="195" spans="1:6" ht="14.5" x14ac:dyDescent="0.35">
      <c r="A195" s="5" t="s">
        <v>97</v>
      </c>
      <c r="B195" s="8">
        <v>0.02</v>
      </c>
      <c r="C195" s="6" t="s">
        <v>7</v>
      </c>
      <c r="D195" s="8">
        <v>140000</v>
      </c>
      <c r="E195" s="8">
        <f t="shared" ref="E195:E197" si="11">B195*D195</f>
        <v>2800</v>
      </c>
      <c r="F195" s="6"/>
    </row>
    <row r="196" spans="1:6" ht="14.5" x14ac:dyDescent="0.35">
      <c r="A196" s="5" t="s">
        <v>85</v>
      </c>
      <c r="B196" s="8">
        <v>1</v>
      </c>
      <c r="C196" s="6" t="s">
        <v>7</v>
      </c>
      <c r="D196" s="8">
        <v>4500</v>
      </c>
      <c r="E196" s="8">
        <f t="shared" si="11"/>
        <v>4500</v>
      </c>
      <c r="F196" s="6"/>
    </row>
    <row r="197" spans="1:6" ht="14.5" x14ac:dyDescent="0.35">
      <c r="A197" s="5" t="s">
        <v>87</v>
      </c>
      <c r="B197" s="8">
        <v>0.5</v>
      </c>
      <c r="C197" s="6" t="s">
        <v>7</v>
      </c>
      <c r="D197" s="8">
        <v>9000</v>
      </c>
      <c r="E197" s="8">
        <f t="shared" si="11"/>
        <v>4500</v>
      </c>
      <c r="F197" s="6"/>
    </row>
    <row r="198" spans="1:6" ht="14.5" x14ac:dyDescent="0.35">
      <c r="A198" s="5" t="s">
        <v>89</v>
      </c>
      <c r="B198" s="8">
        <v>0</v>
      </c>
      <c r="C198" s="6" t="s">
        <v>90</v>
      </c>
      <c r="D198" s="8">
        <v>0</v>
      </c>
      <c r="E198" s="8">
        <v>0</v>
      </c>
      <c r="F198" s="6"/>
    </row>
    <row r="199" spans="1:6" ht="14.5" x14ac:dyDescent="0.35">
      <c r="A199" s="5" t="s">
        <v>89</v>
      </c>
      <c r="B199" s="8">
        <v>0</v>
      </c>
      <c r="C199" s="6" t="s">
        <v>90</v>
      </c>
      <c r="D199" s="8">
        <v>0</v>
      </c>
      <c r="E199" s="8">
        <v>0</v>
      </c>
      <c r="F199" s="6"/>
    </row>
    <row r="200" spans="1:6" ht="14.5" x14ac:dyDescent="0.35">
      <c r="A200" s="5" t="s">
        <v>89</v>
      </c>
      <c r="B200" s="8">
        <v>0</v>
      </c>
      <c r="C200" s="6" t="s">
        <v>90</v>
      </c>
      <c r="D200" s="8">
        <v>0</v>
      </c>
      <c r="E200" s="8">
        <v>0</v>
      </c>
      <c r="F200" s="6"/>
    </row>
    <row r="201" spans="1:6" ht="14.5" x14ac:dyDescent="0.35">
      <c r="A201" s="5" t="s">
        <v>89</v>
      </c>
      <c r="B201" s="8">
        <v>0</v>
      </c>
      <c r="C201" s="6" t="s">
        <v>90</v>
      </c>
      <c r="D201" s="8">
        <v>0</v>
      </c>
      <c r="E201" s="8">
        <v>0</v>
      </c>
      <c r="F201" s="6"/>
    </row>
    <row r="202" spans="1:6" ht="14.5" x14ac:dyDescent="0.35">
      <c r="A202" s="5" t="s">
        <v>89</v>
      </c>
      <c r="B202" s="8">
        <v>0</v>
      </c>
      <c r="C202" s="6" t="s">
        <v>90</v>
      </c>
      <c r="D202" s="8">
        <v>0</v>
      </c>
      <c r="E202" s="8">
        <v>0</v>
      </c>
      <c r="F202" s="6"/>
    </row>
    <row r="203" spans="1:6" ht="14.5" x14ac:dyDescent="0.35">
      <c r="A203" s="5" t="s">
        <v>89</v>
      </c>
      <c r="B203" s="8">
        <v>0</v>
      </c>
      <c r="C203" s="6" t="s">
        <v>90</v>
      </c>
      <c r="D203" s="8">
        <v>0</v>
      </c>
      <c r="E203" s="8">
        <v>0</v>
      </c>
      <c r="F203" s="6"/>
    </row>
    <row r="204" spans="1:6" ht="14.5" x14ac:dyDescent="0.35">
      <c r="A204" s="5"/>
      <c r="B204" s="6"/>
      <c r="C204" s="6"/>
      <c r="D204" s="6"/>
      <c r="E204" s="6"/>
      <c r="F204" s="6"/>
    </row>
    <row r="205" spans="1:6" ht="14.5" x14ac:dyDescent="0.35">
      <c r="A205" s="1"/>
      <c r="B205" s="2"/>
      <c r="C205" s="2"/>
      <c r="D205" s="2"/>
      <c r="E205" s="2"/>
      <c r="F205" s="4">
        <f>SUM(E207:E216)</f>
        <v>11800</v>
      </c>
    </row>
    <row r="206" spans="1:6" ht="14.5" x14ac:dyDescent="0.35">
      <c r="A206" s="5"/>
      <c r="B206" s="6" t="s">
        <v>2</v>
      </c>
      <c r="C206" s="6"/>
      <c r="D206" s="6" t="s">
        <v>3</v>
      </c>
      <c r="E206" s="6" t="s">
        <v>4</v>
      </c>
      <c r="F206" s="6"/>
    </row>
    <row r="207" spans="1:6" ht="14.5" x14ac:dyDescent="0.35">
      <c r="A207" s="5" t="s">
        <v>97</v>
      </c>
      <c r="B207" s="8">
        <v>0.02</v>
      </c>
      <c r="C207" s="6" t="s">
        <v>7</v>
      </c>
      <c r="D207" s="8">
        <v>140000</v>
      </c>
      <c r="E207" s="8">
        <f t="shared" ref="E207:E209" si="12">B207*D207</f>
        <v>2800</v>
      </c>
      <c r="F207" s="6"/>
    </row>
    <row r="208" spans="1:6" ht="14.5" x14ac:dyDescent="0.35">
      <c r="A208" s="5" t="s">
        <v>85</v>
      </c>
      <c r="B208" s="8">
        <v>1</v>
      </c>
      <c r="C208" s="6" t="s">
        <v>7</v>
      </c>
      <c r="D208" s="8">
        <v>4500</v>
      </c>
      <c r="E208" s="8">
        <f t="shared" si="12"/>
        <v>4500</v>
      </c>
      <c r="F208" s="6"/>
    </row>
    <row r="209" spans="1:6" ht="14.5" x14ac:dyDescent="0.35">
      <c r="A209" s="5" t="s">
        <v>87</v>
      </c>
      <c r="B209" s="8">
        <v>0.5</v>
      </c>
      <c r="C209" s="6" t="s">
        <v>7</v>
      </c>
      <c r="D209" s="8">
        <v>9000</v>
      </c>
      <c r="E209" s="8">
        <f t="shared" si="12"/>
        <v>4500</v>
      </c>
      <c r="F209" s="6"/>
    </row>
    <row r="210" spans="1:6" ht="14.5" x14ac:dyDescent="0.35">
      <c r="A210" s="5" t="s">
        <v>89</v>
      </c>
      <c r="B210" s="8">
        <v>0</v>
      </c>
      <c r="C210" s="6" t="s">
        <v>90</v>
      </c>
      <c r="D210" s="8">
        <v>0</v>
      </c>
      <c r="E210" s="8">
        <v>0</v>
      </c>
      <c r="F210" s="6"/>
    </row>
    <row r="211" spans="1:6" ht="14.5" x14ac:dyDescent="0.35">
      <c r="A211" s="5" t="s">
        <v>89</v>
      </c>
      <c r="B211" s="8">
        <v>0</v>
      </c>
      <c r="C211" s="6" t="s">
        <v>90</v>
      </c>
      <c r="D211" s="8">
        <v>0</v>
      </c>
      <c r="E211" s="8">
        <v>0</v>
      </c>
      <c r="F211" s="6"/>
    </row>
    <row r="212" spans="1:6" ht="14.5" x14ac:dyDescent="0.35">
      <c r="A212" s="5" t="s">
        <v>89</v>
      </c>
      <c r="B212" s="8">
        <v>0</v>
      </c>
      <c r="C212" s="6" t="s">
        <v>90</v>
      </c>
      <c r="D212" s="8">
        <v>0</v>
      </c>
      <c r="E212" s="8">
        <v>0</v>
      </c>
      <c r="F212" s="6"/>
    </row>
    <row r="213" spans="1:6" ht="14.5" x14ac:dyDescent="0.35">
      <c r="A213" s="5" t="s">
        <v>89</v>
      </c>
      <c r="B213" s="8">
        <v>0</v>
      </c>
      <c r="C213" s="6" t="s">
        <v>90</v>
      </c>
      <c r="D213" s="8">
        <v>0</v>
      </c>
      <c r="E213" s="8">
        <v>0</v>
      </c>
      <c r="F213" s="6"/>
    </row>
    <row r="214" spans="1:6" ht="14.5" x14ac:dyDescent="0.35">
      <c r="A214" s="5" t="s">
        <v>89</v>
      </c>
      <c r="B214" s="8">
        <v>0</v>
      </c>
      <c r="C214" s="6" t="s">
        <v>90</v>
      </c>
      <c r="D214" s="8">
        <v>0</v>
      </c>
      <c r="E214" s="8">
        <v>0</v>
      </c>
      <c r="F214" s="6"/>
    </row>
    <row r="215" spans="1:6" ht="14.5" x14ac:dyDescent="0.35">
      <c r="A215" s="5" t="s">
        <v>89</v>
      </c>
      <c r="B215" s="8">
        <v>0</v>
      </c>
      <c r="C215" s="6" t="s">
        <v>90</v>
      </c>
      <c r="D215" s="8">
        <v>0</v>
      </c>
      <c r="E215" s="8">
        <v>0</v>
      </c>
      <c r="F215" s="6"/>
    </row>
    <row r="216" spans="1:6" ht="15.75" customHeight="1" x14ac:dyDescent="0.25">
      <c r="B216" s="43"/>
      <c r="C216" s="43"/>
      <c r="D216" s="43"/>
      <c r="E216" s="43"/>
      <c r="F216" s="43"/>
    </row>
    <row r="217" spans="1:6" ht="15.75" customHeight="1" x14ac:dyDescent="0.25">
      <c r="A217" s="12"/>
      <c r="B217" s="43"/>
      <c r="C217" s="43"/>
      <c r="D217" s="43"/>
      <c r="E217" s="43"/>
      <c r="F217" s="43"/>
    </row>
    <row r="218" spans="1:6" ht="15.75" customHeight="1" x14ac:dyDescent="0.25">
      <c r="B218" s="43"/>
      <c r="C218" s="43"/>
      <c r="D218" s="43"/>
      <c r="E218" s="43"/>
      <c r="F218" s="43"/>
    </row>
    <row r="219" spans="1:6" ht="15.75" customHeight="1" x14ac:dyDescent="0.25">
      <c r="B219" s="43"/>
      <c r="C219" s="43"/>
      <c r="D219" s="43"/>
      <c r="E219" s="43"/>
      <c r="F219" s="43"/>
    </row>
    <row r="220" spans="1:6" ht="15.75" customHeight="1" x14ac:dyDescent="0.25">
      <c r="B220" s="43"/>
      <c r="C220" s="43"/>
      <c r="D220" s="43"/>
      <c r="E220" s="43"/>
      <c r="F220" s="43"/>
    </row>
    <row r="221" spans="1:6" ht="15.75" customHeight="1" x14ac:dyDescent="0.25">
      <c r="B221" s="43"/>
      <c r="C221" s="43"/>
      <c r="D221" s="43"/>
      <c r="E221" s="43"/>
      <c r="F221" s="43"/>
    </row>
    <row r="222" spans="1:6" ht="15.75" customHeight="1" x14ac:dyDescent="0.25">
      <c r="B222" s="43"/>
      <c r="C222" s="43"/>
      <c r="D222" s="43"/>
      <c r="E222" s="43"/>
      <c r="F222" s="43"/>
    </row>
    <row r="223" spans="1:6" ht="15.75" customHeight="1" x14ac:dyDescent="0.25">
      <c r="B223" s="43"/>
      <c r="C223" s="43"/>
      <c r="D223" s="43"/>
      <c r="E223" s="43"/>
      <c r="F223" s="43"/>
    </row>
    <row r="224" spans="1:6" ht="15.75" customHeight="1" x14ac:dyDescent="0.25">
      <c r="B224" s="43"/>
      <c r="C224" s="43"/>
      <c r="D224" s="43"/>
      <c r="E224" s="43"/>
      <c r="F224" s="43"/>
    </row>
    <row r="225" spans="1:6" ht="15.75" customHeight="1" x14ac:dyDescent="0.25">
      <c r="B225" s="43"/>
      <c r="C225" s="43"/>
      <c r="D225" s="43"/>
      <c r="E225" s="43"/>
      <c r="F225" s="43"/>
    </row>
    <row r="226" spans="1:6" ht="15.75" customHeight="1" x14ac:dyDescent="0.25">
      <c r="B226" s="43"/>
      <c r="C226" s="43"/>
      <c r="D226" s="43"/>
      <c r="E226" s="43"/>
      <c r="F226" s="43"/>
    </row>
    <row r="227" spans="1:6" ht="15.75" customHeight="1" x14ac:dyDescent="0.25">
      <c r="B227" s="43"/>
      <c r="C227" s="43"/>
      <c r="D227" s="43"/>
      <c r="E227" s="43"/>
      <c r="F227" s="43"/>
    </row>
    <row r="228" spans="1:6" ht="15.75" customHeight="1" x14ac:dyDescent="0.25">
      <c r="B228" s="43"/>
      <c r="C228" s="43"/>
      <c r="D228" s="43"/>
      <c r="E228" s="43"/>
      <c r="F228" s="43"/>
    </row>
    <row r="229" spans="1:6" ht="15.75" customHeight="1" x14ac:dyDescent="0.25">
      <c r="A229" s="12"/>
      <c r="B229" s="43"/>
      <c r="C229" s="43"/>
      <c r="D229" s="43"/>
      <c r="E229" s="43"/>
      <c r="F229" s="43"/>
    </row>
    <row r="230" spans="1:6" ht="15.75" customHeight="1" x14ac:dyDescent="0.25">
      <c r="B230" s="43"/>
      <c r="C230" s="43"/>
      <c r="D230" s="43"/>
      <c r="E230" s="43"/>
      <c r="F230" s="43"/>
    </row>
    <row r="231" spans="1:6" ht="15.75" customHeight="1" x14ac:dyDescent="0.25">
      <c r="B231" s="43"/>
      <c r="C231" s="43"/>
      <c r="D231" s="43"/>
      <c r="E231" s="43"/>
      <c r="F231" s="43"/>
    </row>
    <row r="232" spans="1:6" ht="15.75" customHeight="1" x14ac:dyDescent="0.25">
      <c r="B232" s="43"/>
      <c r="C232" s="43"/>
      <c r="D232" s="43"/>
      <c r="E232" s="43"/>
      <c r="F232" s="43"/>
    </row>
    <row r="233" spans="1:6" ht="15.75" customHeight="1" x14ac:dyDescent="0.25">
      <c r="B233" s="43"/>
      <c r="C233" s="43"/>
      <c r="D233" s="43"/>
      <c r="E233" s="43"/>
      <c r="F233" s="43"/>
    </row>
    <row r="234" spans="1:6" ht="15.75" customHeight="1" x14ac:dyDescent="0.25">
      <c r="B234" s="43"/>
      <c r="C234" s="43"/>
      <c r="D234" s="43"/>
      <c r="E234" s="43"/>
      <c r="F234" s="43"/>
    </row>
    <row r="235" spans="1:6" ht="15.75" customHeight="1" x14ac:dyDescent="0.25">
      <c r="B235" s="43"/>
      <c r="C235" s="43"/>
      <c r="D235" s="43"/>
      <c r="E235" s="43"/>
      <c r="F235" s="43"/>
    </row>
    <row r="236" spans="1:6" ht="15.75" customHeight="1" x14ac:dyDescent="0.25">
      <c r="B236" s="43"/>
      <c r="C236" s="43"/>
      <c r="D236" s="43"/>
      <c r="E236" s="43"/>
      <c r="F236" s="43"/>
    </row>
    <row r="237" spans="1:6" ht="15.75" customHeight="1" x14ac:dyDescent="0.25">
      <c r="B237" s="43"/>
      <c r="C237" s="43"/>
      <c r="D237" s="43"/>
      <c r="E237" s="43"/>
      <c r="F237" s="43"/>
    </row>
    <row r="238" spans="1:6" ht="15.75" customHeight="1" x14ac:dyDescent="0.25">
      <c r="B238" s="43"/>
      <c r="C238" s="43"/>
      <c r="D238" s="43"/>
      <c r="E238" s="43"/>
      <c r="F238" s="43"/>
    </row>
    <row r="239" spans="1:6" ht="15.75" customHeight="1" x14ac:dyDescent="0.25">
      <c r="B239" s="43"/>
      <c r="C239" s="43"/>
      <c r="D239" s="43"/>
      <c r="E239" s="43"/>
      <c r="F239" s="43"/>
    </row>
    <row r="240" spans="1:6" ht="15.75" customHeight="1" x14ac:dyDescent="0.25">
      <c r="B240" s="43"/>
      <c r="C240" s="43"/>
      <c r="D240" s="43"/>
      <c r="E240" s="43"/>
      <c r="F240" s="43"/>
    </row>
    <row r="241" spans="1:6" ht="15.75" customHeight="1" x14ac:dyDescent="0.25">
      <c r="A241" s="12"/>
      <c r="B241" s="43"/>
      <c r="C241" s="43"/>
      <c r="D241" s="43"/>
      <c r="E241" s="43"/>
      <c r="F241" s="43"/>
    </row>
    <row r="242" spans="1:6" ht="15.75" customHeight="1" x14ac:dyDescent="0.25">
      <c r="B242" s="43"/>
      <c r="C242" s="43"/>
      <c r="D242" s="43"/>
      <c r="E242" s="43"/>
      <c r="F242" s="43"/>
    </row>
    <row r="243" spans="1:6" ht="15.75" customHeight="1" x14ac:dyDescent="0.25">
      <c r="A243" s="12"/>
      <c r="B243" s="43"/>
      <c r="C243" s="43"/>
      <c r="D243" s="43"/>
      <c r="E243" s="43"/>
      <c r="F243" s="43"/>
    </row>
    <row r="244" spans="1:6" ht="15.75" customHeight="1" x14ac:dyDescent="0.25">
      <c r="A244" s="12"/>
      <c r="B244" s="43"/>
      <c r="C244" s="43"/>
      <c r="D244" s="43"/>
      <c r="E244" s="43"/>
      <c r="F244" s="43"/>
    </row>
    <row r="245" spans="1:6" ht="15.75" customHeight="1" x14ac:dyDescent="0.25">
      <c r="A245" s="12"/>
      <c r="B245" s="43"/>
      <c r="C245" s="43"/>
      <c r="D245" s="43"/>
      <c r="E245" s="43"/>
      <c r="F245" s="43"/>
    </row>
    <row r="246" spans="1:6" ht="15.75" customHeight="1" x14ac:dyDescent="0.25">
      <c r="A246" s="12"/>
      <c r="B246" s="43"/>
      <c r="C246" s="43"/>
      <c r="D246" s="43"/>
      <c r="E246" s="43"/>
      <c r="F246" s="43"/>
    </row>
    <row r="247" spans="1:6" ht="15.75" customHeight="1" x14ac:dyDescent="0.25">
      <c r="A247" s="12"/>
      <c r="B247" s="43"/>
      <c r="C247" s="43"/>
      <c r="D247" s="43"/>
      <c r="E247" s="43"/>
      <c r="F247" s="43"/>
    </row>
    <row r="248" spans="1:6" ht="15.75" customHeight="1" x14ac:dyDescent="0.25">
      <c r="B248" s="43"/>
      <c r="C248" s="43"/>
      <c r="D248" s="43"/>
      <c r="E248" s="43"/>
      <c r="F248" s="43"/>
    </row>
    <row r="249" spans="1:6" ht="15.75" customHeight="1" x14ac:dyDescent="0.25">
      <c r="B249" s="43"/>
      <c r="C249" s="43"/>
      <c r="D249" s="43"/>
      <c r="E249" s="43"/>
      <c r="F249" s="43"/>
    </row>
    <row r="250" spans="1:6" ht="15.75" customHeight="1" x14ac:dyDescent="0.25">
      <c r="B250" s="43"/>
      <c r="C250" s="43"/>
      <c r="D250" s="43"/>
      <c r="E250" s="43"/>
      <c r="F250" s="43"/>
    </row>
    <row r="251" spans="1:6" ht="15.75" customHeight="1" x14ac:dyDescent="0.25">
      <c r="B251" s="43"/>
      <c r="C251" s="43"/>
      <c r="D251" s="43"/>
      <c r="E251" s="43"/>
      <c r="F251" s="43"/>
    </row>
    <row r="252" spans="1:6" ht="15.75" customHeight="1" x14ac:dyDescent="0.25">
      <c r="B252" s="43"/>
      <c r="C252" s="43"/>
      <c r="D252" s="43"/>
      <c r="E252" s="43"/>
      <c r="F252" s="43"/>
    </row>
    <row r="253" spans="1:6" ht="15.75" customHeight="1" x14ac:dyDescent="0.25">
      <c r="A253" s="12"/>
      <c r="B253" s="43"/>
      <c r="C253" s="43"/>
      <c r="D253" s="43"/>
      <c r="E253" s="43"/>
      <c r="F253" s="43"/>
    </row>
    <row r="254" spans="1:6" ht="15.75" customHeight="1" x14ac:dyDescent="0.25">
      <c r="B254" s="43"/>
      <c r="C254" s="43"/>
      <c r="D254" s="43"/>
      <c r="E254" s="43"/>
      <c r="F254" s="43"/>
    </row>
    <row r="255" spans="1:6" ht="15.75" customHeight="1" x14ac:dyDescent="0.25">
      <c r="B255" s="43"/>
      <c r="C255" s="43"/>
      <c r="D255" s="43"/>
      <c r="E255" s="43"/>
      <c r="F255" s="43"/>
    </row>
    <row r="256" spans="1:6" ht="15.75" customHeight="1" x14ac:dyDescent="0.25">
      <c r="B256" s="43"/>
      <c r="C256" s="43"/>
      <c r="D256" s="43"/>
      <c r="E256" s="43"/>
      <c r="F256" s="43"/>
    </row>
    <row r="257" spans="1:6" ht="15.75" customHeight="1" x14ac:dyDescent="0.25">
      <c r="B257" s="43"/>
      <c r="C257" s="43"/>
      <c r="D257" s="43"/>
      <c r="E257" s="43"/>
      <c r="F257" s="43"/>
    </row>
    <row r="258" spans="1:6" ht="15.75" customHeight="1" x14ac:dyDescent="0.25">
      <c r="B258" s="43"/>
      <c r="C258" s="43"/>
      <c r="D258" s="43"/>
      <c r="E258" s="43"/>
      <c r="F258" s="43"/>
    </row>
    <row r="259" spans="1:6" ht="15.75" customHeight="1" x14ac:dyDescent="0.25">
      <c r="B259" s="43"/>
      <c r="C259" s="43"/>
      <c r="D259" s="43"/>
      <c r="E259" s="43"/>
      <c r="F259" s="43"/>
    </row>
    <row r="260" spans="1:6" ht="15.75" customHeight="1" x14ac:dyDescent="0.25">
      <c r="B260" s="43"/>
      <c r="C260" s="43"/>
      <c r="D260" s="43"/>
      <c r="E260" s="43"/>
      <c r="F260" s="43"/>
    </row>
    <row r="261" spans="1:6" ht="15.75" customHeight="1" x14ac:dyDescent="0.25">
      <c r="B261" s="43"/>
      <c r="C261" s="43"/>
      <c r="D261" s="43"/>
      <c r="E261" s="43"/>
      <c r="F261" s="43"/>
    </row>
    <row r="262" spans="1:6" ht="15.75" customHeight="1" x14ac:dyDescent="0.25">
      <c r="B262" s="43"/>
      <c r="C262" s="43"/>
      <c r="D262" s="43"/>
      <c r="E262" s="43"/>
      <c r="F262" s="43"/>
    </row>
    <row r="263" spans="1:6" ht="15.75" customHeight="1" x14ac:dyDescent="0.25">
      <c r="B263" s="43"/>
      <c r="C263" s="43"/>
      <c r="D263" s="43"/>
      <c r="E263" s="43"/>
      <c r="F263" s="43"/>
    </row>
    <row r="264" spans="1:6" ht="15.75" customHeight="1" x14ac:dyDescent="0.25">
      <c r="B264" s="43"/>
      <c r="C264" s="43"/>
      <c r="D264" s="43"/>
      <c r="E264" s="43"/>
      <c r="F264" s="43"/>
    </row>
    <row r="265" spans="1:6" ht="15.75" customHeight="1" x14ac:dyDescent="0.25">
      <c r="A265" s="12"/>
      <c r="B265" s="43"/>
      <c r="C265" s="43"/>
      <c r="D265" s="43"/>
      <c r="E265" s="43"/>
      <c r="F265" s="43"/>
    </row>
    <row r="266" spans="1:6" ht="15.75" customHeight="1" x14ac:dyDescent="0.25">
      <c r="B266" s="43"/>
      <c r="C266" s="43"/>
      <c r="D266" s="43"/>
      <c r="E266" s="43"/>
      <c r="F266" s="43"/>
    </row>
    <row r="267" spans="1:6" ht="15.75" customHeight="1" x14ac:dyDescent="0.25">
      <c r="B267" s="43"/>
      <c r="C267" s="43"/>
      <c r="D267" s="43"/>
      <c r="E267" s="43"/>
      <c r="F267" s="43"/>
    </row>
    <row r="268" spans="1:6" ht="15.75" customHeight="1" x14ac:dyDescent="0.25">
      <c r="B268" s="43"/>
      <c r="C268" s="43"/>
      <c r="D268" s="43"/>
      <c r="E268" s="43"/>
      <c r="F268" s="43"/>
    </row>
    <row r="269" spans="1:6" ht="15.75" customHeight="1" x14ac:dyDescent="0.25">
      <c r="B269" s="43"/>
      <c r="C269" s="43"/>
      <c r="D269" s="43"/>
      <c r="E269" s="43"/>
      <c r="F269" s="43"/>
    </row>
    <row r="270" spans="1:6" ht="15.75" customHeight="1" x14ac:dyDescent="0.25">
      <c r="B270" s="43"/>
      <c r="C270" s="43"/>
      <c r="D270" s="43"/>
      <c r="E270" s="43"/>
      <c r="F270" s="43"/>
    </row>
    <row r="271" spans="1:6" ht="15.75" customHeight="1" x14ac:dyDescent="0.25">
      <c r="B271" s="43"/>
      <c r="C271" s="43"/>
      <c r="D271" s="43"/>
      <c r="E271" s="43"/>
      <c r="F271" s="43"/>
    </row>
    <row r="272" spans="1:6" ht="15.75" customHeight="1" x14ac:dyDescent="0.25">
      <c r="B272" s="43"/>
      <c r="C272" s="43"/>
      <c r="D272" s="43"/>
      <c r="E272" s="43"/>
      <c r="F272" s="43"/>
    </row>
    <row r="273" spans="1:6" ht="15.75" customHeight="1" x14ac:dyDescent="0.25">
      <c r="B273" s="43"/>
      <c r="C273" s="43"/>
      <c r="D273" s="43"/>
      <c r="E273" s="43"/>
      <c r="F273" s="43"/>
    </row>
    <row r="274" spans="1:6" ht="15.75" customHeight="1" x14ac:dyDescent="0.25">
      <c r="B274" s="43"/>
      <c r="C274" s="43"/>
      <c r="D274" s="43"/>
      <c r="E274" s="43"/>
      <c r="F274" s="43"/>
    </row>
    <row r="275" spans="1:6" ht="15.75" customHeight="1" x14ac:dyDescent="0.25">
      <c r="B275" s="43"/>
      <c r="C275" s="43"/>
      <c r="D275" s="43"/>
      <c r="E275" s="43"/>
      <c r="F275" s="43"/>
    </row>
    <row r="276" spans="1:6" ht="15.75" customHeight="1" x14ac:dyDescent="0.25">
      <c r="B276" s="43"/>
      <c r="C276" s="43"/>
      <c r="D276" s="43"/>
      <c r="E276" s="43"/>
      <c r="F276" s="43"/>
    </row>
    <row r="277" spans="1:6" ht="15.75" customHeight="1" x14ac:dyDescent="0.25">
      <c r="A277" s="12"/>
      <c r="B277" s="43"/>
      <c r="C277" s="43"/>
      <c r="D277" s="43"/>
      <c r="E277" s="43"/>
      <c r="F277" s="43"/>
    </row>
    <row r="278" spans="1:6" ht="15.75" customHeight="1" x14ac:dyDescent="0.25">
      <c r="B278" s="43"/>
      <c r="C278" s="43"/>
      <c r="D278" s="43"/>
      <c r="E278" s="43"/>
      <c r="F278" s="43"/>
    </row>
    <row r="279" spans="1:6" ht="15.75" customHeight="1" x14ac:dyDescent="0.25">
      <c r="B279" s="43"/>
      <c r="C279" s="43"/>
      <c r="D279" s="43"/>
      <c r="E279" s="43"/>
      <c r="F279" s="43"/>
    </row>
    <row r="280" spans="1:6" ht="15.75" customHeight="1" x14ac:dyDescent="0.25">
      <c r="B280" s="43"/>
      <c r="C280" s="43"/>
      <c r="D280" s="43"/>
      <c r="E280" s="43"/>
      <c r="F280" s="43"/>
    </row>
    <row r="281" spans="1:6" ht="15.75" customHeight="1" x14ac:dyDescent="0.25">
      <c r="B281" s="43"/>
      <c r="C281" s="43"/>
      <c r="D281" s="43"/>
      <c r="E281" s="43"/>
      <c r="F281" s="43"/>
    </row>
    <row r="282" spans="1:6" ht="15.75" customHeight="1" x14ac:dyDescent="0.25">
      <c r="B282" s="43"/>
      <c r="C282" s="43"/>
      <c r="D282" s="43"/>
      <c r="E282" s="43"/>
      <c r="F282" s="43"/>
    </row>
    <row r="283" spans="1:6" ht="15.75" customHeight="1" x14ac:dyDescent="0.25">
      <c r="B283" s="43"/>
      <c r="C283" s="43"/>
      <c r="D283" s="43"/>
      <c r="E283" s="43"/>
      <c r="F283" s="43"/>
    </row>
    <row r="284" spans="1:6" ht="15.75" customHeight="1" x14ac:dyDescent="0.25">
      <c r="B284" s="43"/>
      <c r="C284" s="43"/>
      <c r="D284" s="43"/>
      <c r="E284" s="43"/>
      <c r="F284" s="43"/>
    </row>
    <row r="285" spans="1:6" ht="15.75" customHeight="1" x14ac:dyDescent="0.25">
      <c r="B285" s="43"/>
      <c r="C285" s="43"/>
      <c r="D285" s="43"/>
      <c r="E285" s="43"/>
      <c r="F285" s="43"/>
    </row>
    <row r="286" spans="1:6" ht="15.75" customHeight="1" x14ac:dyDescent="0.25">
      <c r="B286" s="43"/>
      <c r="C286" s="43"/>
      <c r="D286" s="43"/>
      <c r="E286" s="43"/>
      <c r="F286" s="43"/>
    </row>
    <row r="287" spans="1:6" ht="15.75" customHeight="1" x14ac:dyDescent="0.25">
      <c r="B287" s="43"/>
      <c r="C287" s="43"/>
      <c r="D287" s="43"/>
      <c r="E287" s="43"/>
      <c r="F287" s="43"/>
    </row>
    <row r="288" spans="1:6" ht="15.75" customHeight="1" x14ac:dyDescent="0.25">
      <c r="B288" s="43"/>
      <c r="C288" s="43"/>
      <c r="D288" s="43"/>
      <c r="E288" s="43"/>
      <c r="F288" s="43"/>
    </row>
    <row r="289" spans="1:6" ht="15.75" customHeight="1" x14ac:dyDescent="0.25">
      <c r="A289" s="12"/>
      <c r="B289" s="43"/>
      <c r="C289" s="43"/>
      <c r="D289" s="43"/>
      <c r="E289" s="43"/>
      <c r="F289" s="43"/>
    </row>
    <row r="290" spans="1:6" ht="15.75" customHeight="1" x14ac:dyDescent="0.25">
      <c r="B290" s="43"/>
      <c r="C290" s="43"/>
      <c r="D290" s="43"/>
      <c r="E290" s="43"/>
      <c r="F290" s="43"/>
    </row>
    <row r="291" spans="1:6" ht="15.75" customHeight="1" x14ac:dyDescent="0.25">
      <c r="A291" s="12"/>
      <c r="B291" s="43"/>
      <c r="C291" s="43"/>
      <c r="D291" s="43"/>
      <c r="E291" s="43"/>
      <c r="F291" s="43"/>
    </row>
    <row r="292" spans="1:6" ht="15.75" customHeight="1" x14ac:dyDescent="0.25">
      <c r="A292" s="12"/>
      <c r="B292" s="43"/>
      <c r="C292" s="43"/>
      <c r="D292" s="43"/>
      <c r="E292" s="43"/>
      <c r="F292" s="43"/>
    </row>
    <row r="293" spans="1:6" ht="15.75" customHeight="1" x14ac:dyDescent="0.25">
      <c r="A293" s="12"/>
      <c r="B293" s="43"/>
      <c r="C293" s="43"/>
      <c r="D293" s="43"/>
      <c r="E293" s="43"/>
      <c r="F293" s="43"/>
    </row>
    <row r="294" spans="1:6" ht="15.75" customHeight="1" x14ac:dyDescent="0.25">
      <c r="B294" s="43"/>
      <c r="C294" s="43"/>
      <c r="D294" s="43"/>
      <c r="E294" s="43"/>
      <c r="F294" s="43"/>
    </row>
    <row r="295" spans="1:6" ht="15.75" customHeight="1" x14ac:dyDescent="0.25">
      <c r="B295" s="43"/>
      <c r="C295" s="43"/>
      <c r="D295" s="43"/>
      <c r="E295" s="43"/>
      <c r="F295" s="43"/>
    </row>
    <row r="296" spans="1:6" ht="15.75" customHeight="1" x14ac:dyDescent="0.25">
      <c r="B296" s="43"/>
      <c r="C296" s="43"/>
      <c r="D296" s="43"/>
      <c r="E296" s="43"/>
      <c r="F296" s="43"/>
    </row>
    <row r="297" spans="1:6" ht="15.75" customHeight="1" x14ac:dyDescent="0.25">
      <c r="B297" s="43"/>
      <c r="C297" s="43"/>
      <c r="D297" s="43"/>
      <c r="E297" s="43"/>
      <c r="F297" s="43"/>
    </row>
    <row r="298" spans="1:6" ht="15.75" customHeight="1" x14ac:dyDescent="0.25">
      <c r="B298" s="43"/>
      <c r="C298" s="43"/>
      <c r="D298" s="43"/>
      <c r="E298" s="43"/>
      <c r="F298" s="43"/>
    </row>
    <row r="299" spans="1:6" ht="15.75" customHeight="1" x14ac:dyDescent="0.25">
      <c r="B299" s="43"/>
      <c r="C299" s="43"/>
      <c r="D299" s="43"/>
      <c r="E299" s="43"/>
      <c r="F299" s="43"/>
    </row>
    <row r="300" spans="1:6" ht="15.75" customHeight="1" x14ac:dyDescent="0.25">
      <c r="B300" s="43"/>
      <c r="C300" s="43"/>
      <c r="D300" s="43"/>
      <c r="E300" s="43"/>
      <c r="F300" s="43"/>
    </row>
    <row r="301" spans="1:6" ht="15.75" customHeight="1" x14ac:dyDescent="0.25">
      <c r="A301" s="12"/>
      <c r="B301" s="43"/>
      <c r="C301" s="43"/>
      <c r="D301" s="43"/>
      <c r="E301" s="43"/>
      <c r="F301" s="43"/>
    </row>
    <row r="302" spans="1:6" ht="15.75" customHeight="1" x14ac:dyDescent="0.25">
      <c r="B302" s="43"/>
      <c r="C302" s="43"/>
      <c r="D302" s="43"/>
      <c r="E302" s="43"/>
      <c r="F302" s="43"/>
    </row>
    <row r="303" spans="1:6" ht="15.75" customHeight="1" x14ac:dyDescent="0.25">
      <c r="B303" s="43"/>
      <c r="C303" s="43"/>
      <c r="D303" s="43"/>
      <c r="E303" s="43"/>
      <c r="F303" s="43"/>
    </row>
    <row r="304" spans="1:6" ht="15.75" customHeight="1" x14ac:dyDescent="0.25">
      <c r="B304" s="43"/>
      <c r="C304" s="43"/>
      <c r="D304" s="43"/>
      <c r="E304" s="43"/>
      <c r="F304" s="43"/>
    </row>
    <row r="305" spans="1:6" ht="15.75" customHeight="1" x14ac:dyDescent="0.25">
      <c r="B305" s="43"/>
      <c r="C305" s="43"/>
      <c r="D305" s="43"/>
      <c r="E305" s="43"/>
      <c r="F305" s="43"/>
    </row>
    <row r="306" spans="1:6" ht="15.75" customHeight="1" x14ac:dyDescent="0.25">
      <c r="B306" s="43"/>
      <c r="C306" s="43"/>
      <c r="D306" s="43"/>
      <c r="E306" s="43"/>
      <c r="F306" s="43"/>
    </row>
    <row r="307" spans="1:6" ht="15.75" customHeight="1" x14ac:dyDescent="0.25">
      <c r="B307" s="43"/>
      <c r="C307" s="43"/>
      <c r="D307" s="43"/>
      <c r="E307" s="43"/>
      <c r="F307" s="43"/>
    </row>
    <row r="308" spans="1:6" ht="15.75" customHeight="1" x14ac:dyDescent="0.25">
      <c r="B308" s="43"/>
      <c r="C308" s="43"/>
      <c r="D308" s="43"/>
      <c r="E308" s="43"/>
      <c r="F308" s="43"/>
    </row>
    <row r="309" spans="1:6" ht="15.75" customHeight="1" x14ac:dyDescent="0.25">
      <c r="B309" s="43"/>
      <c r="C309" s="43"/>
      <c r="D309" s="43"/>
      <c r="E309" s="43"/>
      <c r="F309" s="43"/>
    </row>
    <row r="310" spans="1:6" ht="15.75" customHeight="1" x14ac:dyDescent="0.25">
      <c r="B310" s="43"/>
      <c r="C310" s="43"/>
      <c r="D310" s="43"/>
      <c r="E310" s="43"/>
      <c r="F310" s="43"/>
    </row>
    <row r="311" spans="1:6" ht="15.75" customHeight="1" x14ac:dyDescent="0.25">
      <c r="B311" s="43"/>
      <c r="C311" s="43"/>
      <c r="D311" s="43"/>
      <c r="E311" s="43"/>
      <c r="F311" s="43"/>
    </row>
    <row r="312" spans="1:6" ht="15.75" customHeight="1" x14ac:dyDescent="0.25">
      <c r="B312" s="43"/>
      <c r="C312" s="43"/>
      <c r="D312" s="43"/>
      <c r="E312" s="43"/>
      <c r="F312" s="43"/>
    </row>
    <row r="313" spans="1:6" ht="15.75" customHeight="1" x14ac:dyDescent="0.25">
      <c r="A313" s="12"/>
      <c r="B313" s="43"/>
      <c r="C313" s="43"/>
      <c r="D313" s="43"/>
      <c r="E313" s="43"/>
      <c r="F313" s="43"/>
    </row>
    <row r="314" spans="1:6" ht="15.75" customHeight="1" x14ac:dyDescent="0.25">
      <c r="B314" s="43"/>
      <c r="C314" s="43"/>
      <c r="D314" s="43"/>
      <c r="E314" s="43"/>
      <c r="F314" s="43"/>
    </row>
    <row r="315" spans="1:6" ht="15.75" customHeight="1" x14ac:dyDescent="0.25">
      <c r="B315" s="43"/>
      <c r="C315" s="43"/>
      <c r="D315" s="43"/>
      <c r="E315" s="43"/>
      <c r="F315" s="43"/>
    </row>
    <row r="316" spans="1:6" ht="15.75" customHeight="1" x14ac:dyDescent="0.25">
      <c r="B316" s="43"/>
      <c r="C316" s="43"/>
      <c r="D316" s="43"/>
      <c r="E316" s="43"/>
      <c r="F316" s="43"/>
    </row>
    <row r="317" spans="1:6" ht="15.75" customHeight="1" x14ac:dyDescent="0.25">
      <c r="B317" s="43"/>
      <c r="C317" s="43"/>
      <c r="D317" s="43"/>
      <c r="E317" s="43"/>
      <c r="F317" s="43"/>
    </row>
    <row r="318" spans="1:6" ht="15.75" customHeight="1" x14ac:dyDescent="0.25">
      <c r="B318" s="43"/>
      <c r="C318" s="43"/>
      <c r="D318" s="43"/>
      <c r="E318" s="43"/>
      <c r="F318" s="43"/>
    </row>
    <row r="319" spans="1:6" ht="15.75" customHeight="1" x14ac:dyDescent="0.25">
      <c r="B319" s="43"/>
      <c r="C319" s="43"/>
      <c r="D319" s="43"/>
      <c r="E319" s="43"/>
      <c r="F319" s="43"/>
    </row>
    <row r="320" spans="1:6" ht="15.75" customHeight="1" x14ac:dyDescent="0.25">
      <c r="B320" s="43"/>
      <c r="C320" s="43"/>
      <c r="D320" s="43"/>
      <c r="E320" s="43"/>
      <c r="F320" s="43"/>
    </row>
    <row r="321" spans="1:6" ht="15.75" customHeight="1" x14ac:dyDescent="0.25">
      <c r="B321" s="43"/>
      <c r="C321" s="43"/>
      <c r="D321" s="43"/>
      <c r="E321" s="43"/>
      <c r="F321" s="43"/>
    </row>
    <row r="322" spans="1:6" ht="15.75" customHeight="1" x14ac:dyDescent="0.25">
      <c r="B322" s="43"/>
      <c r="C322" s="43"/>
      <c r="D322" s="43"/>
      <c r="E322" s="43"/>
      <c r="F322" s="43"/>
    </row>
    <row r="323" spans="1:6" ht="15.75" customHeight="1" x14ac:dyDescent="0.25">
      <c r="B323" s="43"/>
      <c r="C323" s="43"/>
      <c r="D323" s="43"/>
      <c r="E323" s="43"/>
      <c r="F323" s="43"/>
    </row>
    <row r="324" spans="1:6" ht="15.75" customHeight="1" x14ac:dyDescent="0.25">
      <c r="B324" s="43"/>
      <c r="C324" s="43"/>
      <c r="D324" s="43"/>
      <c r="E324" s="43"/>
      <c r="F324" s="43"/>
    </row>
    <row r="325" spans="1:6" ht="15.75" customHeight="1" x14ac:dyDescent="0.25">
      <c r="A325" s="12"/>
      <c r="B325" s="43"/>
      <c r="C325" s="43"/>
      <c r="D325" s="43"/>
      <c r="E325" s="43"/>
      <c r="F325" s="43"/>
    </row>
    <row r="326" spans="1:6" ht="15.75" customHeight="1" x14ac:dyDescent="0.25">
      <c r="B326" s="43"/>
      <c r="C326" s="43"/>
      <c r="D326" s="43"/>
      <c r="E326" s="43"/>
      <c r="F326" s="43"/>
    </row>
    <row r="327" spans="1:6" ht="15.75" customHeight="1" x14ac:dyDescent="0.25">
      <c r="B327" s="43"/>
      <c r="C327" s="43"/>
      <c r="D327" s="43"/>
      <c r="E327" s="43"/>
      <c r="F327" s="43"/>
    </row>
    <row r="328" spans="1:6" ht="15.75" customHeight="1" x14ac:dyDescent="0.25">
      <c r="B328" s="43"/>
      <c r="C328" s="43"/>
      <c r="D328" s="43"/>
      <c r="E328" s="43"/>
      <c r="F328" s="43"/>
    </row>
    <row r="329" spans="1:6" ht="15.75" customHeight="1" x14ac:dyDescent="0.25">
      <c r="B329" s="43"/>
      <c r="C329" s="43"/>
      <c r="D329" s="43"/>
      <c r="E329" s="43"/>
      <c r="F329" s="43"/>
    </row>
    <row r="330" spans="1:6" ht="15.75" customHeight="1" x14ac:dyDescent="0.25">
      <c r="B330" s="43"/>
      <c r="C330" s="43"/>
      <c r="D330" s="43"/>
      <c r="E330" s="43"/>
      <c r="F330" s="43"/>
    </row>
    <row r="331" spans="1:6" ht="15.75" customHeight="1" x14ac:dyDescent="0.25">
      <c r="B331" s="43"/>
      <c r="C331" s="43"/>
      <c r="D331" s="43"/>
      <c r="E331" s="43"/>
      <c r="F331" s="43"/>
    </row>
    <row r="332" spans="1:6" ht="15.75" customHeight="1" x14ac:dyDescent="0.25">
      <c r="B332" s="43"/>
      <c r="C332" s="43"/>
      <c r="D332" s="43"/>
      <c r="E332" s="43"/>
      <c r="F332" s="43"/>
    </row>
    <row r="333" spans="1:6" ht="15.75" customHeight="1" x14ac:dyDescent="0.25">
      <c r="B333" s="43"/>
      <c r="C333" s="43"/>
      <c r="D333" s="43"/>
      <c r="E333" s="43"/>
      <c r="F333" s="43"/>
    </row>
    <row r="334" spans="1:6" ht="15.75" customHeight="1" x14ac:dyDescent="0.25">
      <c r="B334" s="43"/>
      <c r="C334" s="43"/>
      <c r="D334" s="43"/>
      <c r="E334" s="43"/>
      <c r="F334" s="43"/>
    </row>
    <row r="335" spans="1:6" ht="15.75" customHeight="1" x14ac:dyDescent="0.25">
      <c r="B335" s="43"/>
      <c r="C335" s="43"/>
      <c r="D335" s="43"/>
      <c r="E335" s="43"/>
      <c r="F335" s="43"/>
    </row>
    <row r="336" spans="1:6" ht="15.75" customHeight="1" x14ac:dyDescent="0.25">
      <c r="B336" s="43"/>
      <c r="C336" s="43"/>
      <c r="D336" s="43"/>
      <c r="E336" s="43"/>
      <c r="F336" s="43"/>
    </row>
    <row r="337" spans="1:6" ht="15.75" customHeight="1" x14ac:dyDescent="0.25">
      <c r="A337" s="12"/>
      <c r="B337" s="43"/>
      <c r="C337" s="43"/>
      <c r="D337" s="43"/>
      <c r="E337" s="43"/>
      <c r="F337" s="43"/>
    </row>
    <row r="338" spans="1:6" ht="15.75" customHeight="1" x14ac:dyDescent="0.25">
      <c r="B338" s="43"/>
      <c r="C338" s="43"/>
      <c r="D338" s="43"/>
      <c r="E338" s="43"/>
      <c r="F338" s="43"/>
    </row>
    <row r="339" spans="1:6" ht="15.75" customHeight="1" x14ac:dyDescent="0.25">
      <c r="A339" s="12"/>
      <c r="B339" s="43"/>
      <c r="C339" s="43"/>
      <c r="D339" s="43"/>
      <c r="E339" s="43"/>
      <c r="F339" s="43"/>
    </row>
    <row r="340" spans="1:6" ht="15.75" customHeight="1" x14ac:dyDescent="0.25">
      <c r="A340" s="12"/>
      <c r="B340" s="43"/>
      <c r="C340" s="43"/>
      <c r="D340" s="43"/>
      <c r="E340" s="43"/>
      <c r="F340" s="43"/>
    </row>
    <row r="341" spans="1:6" ht="15.75" customHeight="1" x14ac:dyDescent="0.25">
      <c r="A341" s="12"/>
      <c r="B341" s="43"/>
      <c r="C341" s="43"/>
      <c r="D341" s="43"/>
      <c r="E341" s="43"/>
      <c r="F341" s="43"/>
    </row>
    <row r="342" spans="1:6" ht="15.75" customHeight="1" x14ac:dyDescent="0.25">
      <c r="B342" s="43"/>
      <c r="C342" s="43"/>
      <c r="D342" s="43"/>
      <c r="E342" s="43"/>
      <c r="F342" s="43"/>
    </row>
    <row r="343" spans="1:6" ht="15.75" customHeight="1" x14ac:dyDescent="0.25">
      <c r="B343" s="43"/>
      <c r="C343" s="43"/>
      <c r="D343" s="43"/>
      <c r="E343" s="43"/>
      <c r="F343" s="43"/>
    </row>
    <row r="344" spans="1:6" ht="15.75" customHeight="1" x14ac:dyDescent="0.25">
      <c r="B344" s="43"/>
      <c r="C344" s="43"/>
      <c r="D344" s="43"/>
      <c r="E344" s="43"/>
      <c r="F344" s="43"/>
    </row>
    <row r="345" spans="1:6" ht="15.75" customHeight="1" x14ac:dyDescent="0.25">
      <c r="B345" s="43"/>
      <c r="C345" s="43"/>
      <c r="D345" s="43"/>
      <c r="E345" s="43"/>
      <c r="F345" s="43"/>
    </row>
    <row r="346" spans="1:6" ht="15.75" customHeight="1" x14ac:dyDescent="0.25">
      <c r="B346" s="43"/>
      <c r="C346" s="43"/>
      <c r="D346" s="43"/>
      <c r="E346" s="43"/>
      <c r="F346" s="43"/>
    </row>
    <row r="347" spans="1:6" ht="15.75" customHeight="1" x14ac:dyDescent="0.25">
      <c r="B347" s="43"/>
      <c r="C347" s="43"/>
      <c r="D347" s="43"/>
      <c r="E347" s="43"/>
      <c r="F347" s="43"/>
    </row>
    <row r="348" spans="1:6" ht="15.75" customHeight="1" x14ac:dyDescent="0.25">
      <c r="B348" s="43"/>
      <c r="C348" s="43"/>
      <c r="D348" s="43"/>
      <c r="E348" s="43"/>
      <c r="F348" s="43"/>
    </row>
    <row r="349" spans="1:6" ht="15.75" customHeight="1" x14ac:dyDescent="0.25">
      <c r="A349" s="12"/>
      <c r="B349" s="43"/>
      <c r="C349" s="43"/>
      <c r="D349" s="43"/>
      <c r="E349" s="43"/>
      <c r="F349" s="43"/>
    </row>
    <row r="350" spans="1:6" ht="15.75" customHeight="1" x14ac:dyDescent="0.25">
      <c r="B350" s="43"/>
      <c r="C350" s="43"/>
      <c r="D350" s="43"/>
      <c r="E350" s="43"/>
      <c r="F350" s="43"/>
    </row>
    <row r="351" spans="1:6" ht="15.75" customHeight="1" x14ac:dyDescent="0.25">
      <c r="A351" s="12"/>
      <c r="B351" s="43"/>
      <c r="C351" s="43"/>
      <c r="D351" s="43"/>
      <c r="E351" s="43"/>
      <c r="F351" s="43"/>
    </row>
    <row r="352" spans="1:6" ht="15.75" customHeight="1" x14ac:dyDescent="0.25">
      <c r="A352" s="12"/>
      <c r="B352" s="43"/>
      <c r="C352" s="43"/>
      <c r="D352" s="43"/>
      <c r="E352" s="43"/>
      <c r="F352" s="43"/>
    </row>
    <row r="353" spans="1:6" ht="15.75" customHeight="1" x14ac:dyDescent="0.25">
      <c r="A353" s="12"/>
      <c r="B353" s="43"/>
      <c r="C353" s="43"/>
      <c r="D353" s="43"/>
      <c r="E353" s="43"/>
      <c r="F353" s="43"/>
    </row>
    <row r="354" spans="1:6" ht="15.75" customHeight="1" x14ac:dyDescent="0.25">
      <c r="B354" s="43"/>
      <c r="C354" s="43"/>
      <c r="D354" s="43"/>
      <c r="E354" s="43"/>
      <c r="F354" s="43"/>
    </row>
    <row r="355" spans="1:6" ht="15.75" customHeight="1" x14ac:dyDescent="0.25">
      <c r="B355" s="43"/>
      <c r="C355" s="43"/>
      <c r="D355" s="43"/>
      <c r="E355" s="43"/>
      <c r="F355" s="43"/>
    </row>
    <row r="356" spans="1:6" ht="15.75" customHeight="1" x14ac:dyDescent="0.25">
      <c r="B356" s="43"/>
      <c r="C356" s="43"/>
      <c r="D356" s="43"/>
      <c r="E356" s="43"/>
      <c r="F356" s="43"/>
    </row>
    <row r="357" spans="1:6" ht="15.75" customHeight="1" x14ac:dyDescent="0.25">
      <c r="B357" s="43"/>
      <c r="C357" s="43"/>
      <c r="D357" s="43"/>
      <c r="E357" s="43"/>
      <c r="F357" s="43"/>
    </row>
    <row r="358" spans="1:6" ht="15.75" customHeight="1" x14ac:dyDescent="0.25">
      <c r="B358" s="43"/>
      <c r="C358" s="43"/>
      <c r="D358" s="43"/>
      <c r="E358" s="43"/>
      <c r="F358" s="43"/>
    </row>
    <row r="359" spans="1:6" ht="15.75" customHeight="1" x14ac:dyDescent="0.25">
      <c r="B359" s="43"/>
      <c r="C359" s="43"/>
      <c r="D359" s="43"/>
      <c r="E359" s="43"/>
      <c r="F359" s="43"/>
    </row>
    <row r="360" spans="1:6" ht="15.75" customHeight="1" x14ac:dyDescent="0.25">
      <c r="B360" s="43"/>
      <c r="C360" s="43"/>
      <c r="D360" s="43"/>
      <c r="E360" s="43"/>
      <c r="F360" s="43"/>
    </row>
    <row r="361" spans="1:6" ht="15.75" customHeight="1" x14ac:dyDescent="0.25">
      <c r="A361" s="12"/>
      <c r="B361" s="43"/>
      <c r="C361" s="43"/>
      <c r="D361" s="43"/>
      <c r="E361" s="43"/>
      <c r="F361" s="43"/>
    </row>
    <row r="362" spans="1:6" ht="15.75" customHeight="1" x14ac:dyDescent="0.25">
      <c r="B362" s="43"/>
      <c r="C362" s="43"/>
      <c r="D362" s="43"/>
      <c r="E362" s="43"/>
      <c r="F362" s="43"/>
    </row>
    <row r="363" spans="1:6" ht="15.75" customHeight="1" x14ac:dyDescent="0.25">
      <c r="B363" s="43"/>
      <c r="C363" s="43"/>
      <c r="D363" s="43"/>
      <c r="E363" s="43"/>
      <c r="F363" s="43"/>
    </row>
    <row r="364" spans="1:6" ht="15.75" customHeight="1" x14ac:dyDescent="0.25">
      <c r="B364" s="43"/>
      <c r="C364" s="43"/>
      <c r="D364" s="43"/>
      <c r="E364" s="43"/>
      <c r="F364" s="43"/>
    </row>
    <row r="365" spans="1:6" ht="15.75" customHeight="1" x14ac:dyDescent="0.25">
      <c r="B365" s="43"/>
      <c r="C365" s="43"/>
      <c r="D365" s="43"/>
      <c r="E365" s="43"/>
      <c r="F365" s="43"/>
    </row>
    <row r="366" spans="1:6" ht="15.75" customHeight="1" x14ac:dyDescent="0.25">
      <c r="B366" s="43"/>
      <c r="C366" s="43"/>
      <c r="D366" s="43"/>
      <c r="E366" s="43"/>
      <c r="F366" s="43"/>
    </row>
    <row r="367" spans="1:6" ht="15.75" customHeight="1" x14ac:dyDescent="0.25">
      <c r="B367" s="43"/>
      <c r="C367" s="43"/>
      <c r="D367" s="43"/>
      <c r="E367" s="43"/>
      <c r="F367" s="43"/>
    </row>
    <row r="368" spans="1:6" ht="15.75" customHeight="1" x14ac:dyDescent="0.25">
      <c r="B368" s="43"/>
      <c r="C368" s="43"/>
      <c r="D368" s="43"/>
      <c r="E368" s="43"/>
      <c r="F368" s="43"/>
    </row>
    <row r="369" spans="1:6" ht="15.75" customHeight="1" x14ac:dyDescent="0.25">
      <c r="B369" s="43"/>
      <c r="C369" s="43"/>
      <c r="D369" s="43"/>
      <c r="E369" s="43"/>
      <c r="F369" s="43"/>
    </row>
    <row r="370" spans="1:6" ht="15.75" customHeight="1" x14ac:dyDescent="0.25">
      <c r="B370" s="43"/>
      <c r="C370" s="43"/>
      <c r="D370" s="43"/>
      <c r="E370" s="43"/>
      <c r="F370" s="43"/>
    </row>
    <row r="371" spans="1:6" ht="15.75" customHeight="1" x14ac:dyDescent="0.25">
      <c r="B371" s="43"/>
      <c r="C371" s="43"/>
      <c r="D371" s="43"/>
      <c r="E371" s="43"/>
      <c r="F371" s="43"/>
    </row>
    <row r="372" spans="1:6" ht="15.75" customHeight="1" x14ac:dyDescent="0.25">
      <c r="B372" s="43"/>
      <c r="C372" s="43"/>
      <c r="D372" s="43"/>
      <c r="E372" s="43"/>
      <c r="F372" s="43"/>
    </row>
    <row r="373" spans="1:6" ht="15.75" customHeight="1" x14ac:dyDescent="0.25">
      <c r="A373" s="12"/>
      <c r="B373" s="43"/>
      <c r="C373" s="43"/>
      <c r="D373" s="43"/>
      <c r="E373" s="43"/>
      <c r="F373" s="43"/>
    </row>
    <row r="374" spans="1:6" ht="15.75" customHeight="1" x14ac:dyDescent="0.25">
      <c r="B374" s="43"/>
      <c r="C374" s="43"/>
      <c r="D374" s="43"/>
      <c r="E374" s="43"/>
      <c r="F374" s="43"/>
    </row>
    <row r="375" spans="1:6" ht="15.75" customHeight="1" x14ac:dyDescent="0.25">
      <c r="B375" s="43"/>
      <c r="C375" s="43"/>
      <c r="D375" s="43"/>
      <c r="E375" s="43"/>
      <c r="F375" s="43"/>
    </row>
    <row r="376" spans="1:6" ht="15.75" customHeight="1" x14ac:dyDescent="0.25">
      <c r="B376" s="43"/>
      <c r="C376" s="43"/>
      <c r="D376" s="43"/>
      <c r="E376" s="43"/>
      <c r="F376" s="43"/>
    </row>
    <row r="377" spans="1:6" ht="15.75" customHeight="1" x14ac:dyDescent="0.25">
      <c r="B377" s="43"/>
      <c r="C377" s="43"/>
      <c r="D377" s="43"/>
      <c r="E377" s="43"/>
      <c r="F377" s="43"/>
    </row>
    <row r="378" spans="1:6" ht="15.75" customHeight="1" x14ac:dyDescent="0.25">
      <c r="B378" s="43"/>
      <c r="C378" s="43"/>
      <c r="D378" s="43"/>
      <c r="E378" s="43"/>
      <c r="F378" s="43"/>
    </row>
    <row r="379" spans="1:6" ht="15.75" customHeight="1" x14ac:dyDescent="0.25">
      <c r="B379" s="43"/>
      <c r="C379" s="43"/>
      <c r="D379" s="43"/>
      <c r="E379" s="43"/>
      <c r="F379" s="43"/>
    </row>
    <row r="380" spans="1:6" ht="15.75" customHeight="1" x14ac:dyDescent="0.25">
      <c r="B380" s="43"/>
      <c r="C380" s="43"/>
      <c r="D380" s="43"/>
      <c r="E380" s="43"/>
      <c r="F380" s="43"/>
    </row>
    <row r="381" spans="1:6" ht="15.75" customHeight="1" x14ac:dyDescent="0.25">
      <c r="B381" s="43"/>
      <c r="C381" s="43"/>
      <c r="D381" s="43"/>
      <c r="E381" s="43"/>
      <c r="F381" s="43"/>
    </row>
    <row r="382" spans="1:6" ht="15.75" customHeight="1" x14ac:dyDescent="0.25">
      <c r="B382" s="43"/>
      <c r="C382" s="43"/>
      <c r="D382" s="43"/>
      <c r="E382" s="43"/>
      <c r="F382" s="43"/>
    </row>
    <row r="383" spans="1:6" ht="15.75" customHeight="1" x14ac:dyDescent="0.25">
      <c r="B383" s="43"/>
      <c r="C383" s="43"/>
      <c r="D383" s="43"/>
      <c r="E383" s="43"/>
      <c r="F383" s="43"/>
    </row>
    <row r="384" spans="1:6" ht="15.75" customHeight="1" x14ac:dyDescent="0.25">
      <c r="B384" s="43"/>
      <c r="C384" s="43"/>
      <c r="D384" s="43"/>
      <c r="E384" s="43"/>
      <c r="F384" s="43"/>
    </row>
    <row r="385" spans="1:6" ht="15.75" customHeight="1" x14ac:dyDescent="0.25">
      <c r="A385" s="12"/>
      <c r="B385" s="43"/>
      <c r="C385" s="43"/>
      <c r="D385" s="43"/>
      <c r="E385" s="43"/>
      <c r="F385" s="43"/>
    </row>
    <row r="386" spans="1:6" ht="15.75" customHeight="1" x14ac:dyDescent="0.25">
      <c r="B386" s="43"/>
      <c r="C386" s="43"/>
      <c r="D386" s="43"/>
      <c r="E386" s="43"/>
      <c r="F386" s="43"/>
    </row>
    <row r="387" spans="1:6" ht="15.75" customHeight="1" x14ac:dyDescent="0.25">
      <c r="B387" s="43"/>
      <c r="C387" s="43"/>
      <c r="D387" s="43"/>
      <c r="E387" s="43"/>
      <c r="F387" s="43"/>
    </row>
    <row r="388" spans="1:6" ht="15.75" customHeight="1" x14ac:dyDescent="0.25">
      <c r="B388" s="43"/>
      <c r="C388" s="43"/>
      <c r="D388" s="43"/>
      <c r="E388" s="43"/>
      <c r="F388" s="43"/>
    </row>
    <row r="389" spans="1:6" ht="15.75" customHeight="1" x14ac:dyDescent="0.25">
      <c r="B389" s="43"/>
      <c r="C389" s="43"/>
      <c r="D389" s="43"/>
      <c r="E389" s="43"/>
      <c r="F389" s="43"/>
    </row>
    <row r="390" spans="1:6" ht="15.75" customHeight="1" x14ac:dyDescent="0.25">
      <c r="B390" s="43"/>
      <c r="C390" s="43"/>
      <c r="D390" s="43"/>
      <c r="E390" s="43"/>
      <c r="F390" s="43"/>
    </row>
    <row r="391" spans="1:6" ht="15.75" customHeight="1" x14ac:dyDescent="0.25">
      <c r="B391" s="43"/>
      <c r="C391" s="43"/>
      <c r="D391" s="43"/>
      <c r="E391" s="43"/>
      <c r="F391" s="43"/>
    </row>
    <row r="392" spans="1:6" ht="15.75" customHeight="1" x14ac:dyDescent="0.25">
      <c r="B392" s="43"/>
      <c r="C392" s="43"/>
      <c r="D392" s="43"/>
      <c r="E392" s="43"/>
      <c r="F392" s="43"/>
    </row>
    <row r="393" spans="1:6" ht="15.75" customHeight="1" x14ac:dyDescent="0.25">
      <c r="B393" s="43"/>
      <c r="C393" s="43"/>
      <c r="D393" s="43"/>
      <c r="E393" s="43"/>
      <c r="F393" s="43"/>
    </row>
    <row r="394" spans="1:6" ht="15.75" customHeight="1" x14ac:dyDescent="0.25">
      <c r="B394" s="43"/>
      <c r="C394" s="43"/>
      <c r="D394" s="43"/>
      <c r="E394" s="43"/>
      <c r="F394" s="43"/>
    </row>
    <row r="395" spans="1:6" ht="15.75" customHeight="1" x14ac:dyDescent="0.25">
      <c r="B395" s="43"/>
      <c r="C395" s="43"/>
      <c r="D395" s="43"/>
      <c r="E395" s="43"/>
      <c r="F395" s="43"/>
    </row>
    <row r="396" spans="1:6" ht="15.75" customHeight="1" x14ac:dyDescent="0.25">
      <c r="B396" s="43"/>
      <c r="C396" s="43"/>
      <c r="D396" s="43"/>
      <c r="E396" s="43"/>
      <c r="F396" s="43"/>
    </row>
    <row r="397" spans="1:6" ht="15.75" customHeight="1" x14ac:dyDescent="0.25">
      <c r="A397" s="12"/>
      <c r="B397" s="43"/>
      <c r="C397" s="43"/>
      <c r="D397" s="43"/>
      <c r="E397" s="43"/>
      <c r="F397" s="43"/>
    </row>
    <row r="398" spans="1:6" ht="15.75" customHeight="1" x14ac:dyDescent="0.25">
      <c r="B398" s="43"/>
      <c r="C398" s="43"/>
      <c r="D398" s="43"/>
      <c r="E398" s="43"/>
      <c r="F398" s="43"/>
    </row>
    <row r="399" spans="1:6" ht="15.75" customHeight="1" x14ac:dyDescent="0.25">
      <c r="A399" s="12"/>
      <c r="B399" s="43"/>
      <c r="C399" s="43"/>
      <c r="D399" s="43"/>
      <c r="E399" s="43"/>
      <c r="F399" s="43"/>
    </row>
    <row r="400" spans="1:6" ht="15.75" customHeight="1" x14ac:dyDescent="0.25">
      <c r="A400" s="12"/>
      <c r="B400" s="43"/>
      <c r="C400" s="43"/>
      <c r="D400" s="43"/>
      <c r="E400" s="43"/>
      <c r="F400" s="43"/>
    </row>
    <row r="401" spans="1:6" ht="15.75" customHeight="1" x14ac:dyDescent="0.25">
      <c r="A401" s="12"/>
      <c r="B401" s="43"/>
      <c r="C401" s="43"/>
      <c r="D401" s="43"/>
      <c r="E401" s="43"/>
      <c r="F401" s="43"/>
    </row>
    <row r="402" spans="1:6" ht="15.75" customHeight="1" x14ac:dyDescent="0.25">
      <c r="A402" s="12"/>
      <c r="B402" s="43"/>
      <c r="C402" s="43"/>
      <c r="D402" s="43"/>
      <c r="E402" s="43"/>
      <c r="F402" s="43"/>
    </row>
    <row r="403" spans="1:6" ht="15.75" customHeight="1" x14ac:dyDescent="0.25">
      <c r="A403" s="12"/>
      <c r="B403" s="43"/>
      <c r="C403" s="43"/>
      <c r="D403" s="43"/>
      <c r="E403" s="43"/>
      <c r="F403" s="43"/>
    </row>
    <row r="404" spans="1:6" ht="15.75" customHeight="1" x14ac:dyDescent="0.25">
      <c r="A404" s="12"/>
      <c r="B404" s="43"/>
      <c r="C404" s="43"/>
      <c r="D404" s="43"/>
      <c r="E404" s="43"/>
      <c r="F404" s="43"/>
    </row>
    <row r="405" spans="1:6" ht="15.75" customHeight="1" x14ac:dyDescent="0.25">
      <c r="B405" s="43"/>
      <c r="C405" s="43"/>
      <c r="D405" s="43"/>
      <c r="E405" s="43"/>
      <c r="F405" s="43"/>
    </row>
    <row r="406" spans="1:6" ht="15.75" customHeight="1" x14ac:dyDescent="0.25">
      <c r="B406" s="43"/>
      <c r="C406" s="43"/>
      <c r="D406" s="43"/>
      <c r="E406" s="43"/>
      <c r="F406" s="43"/>
    </row>
    <row r="407" spans="1:6" ht="15.75" customHeight="1" x14ac:dyDescent="0.25">
      <c r="B407" s="43"/>
      <c r="C407" s="43"/>
      <c r="D407" s="43"/>
      <c r="E407" s="43"/>
      <c r="F407" s="43"/>
    </row>
    <row r="408" spans="1:6" ht="15.75" customHeight="1" x14ac:dyDescent="0.25">
      <c r="B408" s="43"/>
      <c r="C408" s="43"/>
      <c r="D408" s="43"/>
      <c r="E408" s="43"/>
      <c r="F408" s="43"/>
    </row>
    <row r="409" spans="1:6" ht="15.75" customHeight="1" x14ac:dyDescent="0.25">
      <c r="A409" s="12"/>
      <c r="B409" s="43"/>
      <c r="C409" s="43"/>
      <c r="D409" s="43"/>
      <c r="E409" s="43"/>
      <c r="F409" s="43"/>
    </row>
    <row r="410" spans="1:6" ht="15.75" customHeight="1" x14ac:dyDescent="0.25">
      <c r="B410" s="43"/>
      <c r="C410" s="43"/>
      <c r="D410" s="43"/>
      <c r="E410" s="43"/>
      <c r="F410" s="43"/>
    </row>
    <row r="411" spans="1:6" ht="15.75" customHeight="1" x14ac:dyDescent="0.25">
      <c r="B411" s="43"/>
      <c r="C411" s="43"/>
      <c r="D411" s="43"/>
      <c r="E411" s="43"/>
      <c r="F411" s="43"/>
    </row>
    <row r="412" spans="1:6" ht="15.75" customHeight="1" x14ac:dyDescent="0.25">
      <c r="B412" s="43"/>
      <c r="C412" s="43"/>
      <c r="D412" s="43"/>
      <c r="E412" s="43"/>
      <c r="F412" s="43"/>
    </row>
    <row r="413" spans="1:6" ht="15.75" customHeight="1" x14ac:dyDescent="0.25">
      <c r="B413" s="43"/>
      <c r="C413" s="43"/>
      <c r="D413" s="43"/>
      <c r="E413" s="43"/>
      <c r="F413" s="43"/>
    </row>
    <row r="414" spans="1:6" ht="15.75" customHeight="1" x14ac:dyDescent="0.25">
      <c r="B414" s="43"/>
      <c r="C414" s="43"/>
      <c r="D414" s="43"/>
      <c r="E414" s="43"/>
      <c r="F414" s="43"/>
    </row>
    <row r="415" spans="1:6" ht="15.75" customHeight="1" x14ac:dyDescent="0.25">
      <c r="B415" s="43"/>
      <c r="C415" s="43"/>
      <c r="D415" s="43"/>
      <c r="E415" s="43"/>
      <c r="F415" s="43"/>
    </row>
    <row r="416" spans="1:6" ht="15.75" customHeight="1" x14ac:dyDescent="0.25">
      <c r="B416" s="43"/>
      <c r="C416" s="43"/>
      <c r="D416" s="43"/>
      <c r="E416" s="43"/>
      <c r="F416" s="43"/>
    </row>
    <row r="417" spans="1:6" ht="15.75" customHeight="1" x14ac:dyDescent="0.25">
      <c r="B417" s="43"/>
      <c r="C417" s="43"/>
      <c r="D417" s="43"/>
      <c r="E417" s="43"/>
      <c r="F417" s="43"/>
    </row>
    <row r="418" spans="1:6" ht="15.75" customHeight="1" x14ac:dyDescent="0.25">
      <c r="B418" s="43"/>
      <c r="C418" s="43"/>
      <c r="D418" s="43"/>
      <c r="E418" s="43"/>
      <c r="F418" s="43"/>
    </row>
    <row r="419" spans="1:6" ht="15.75" customHeight="1" x14ac:dyDescent="0.25">
      <c r="B419" s="43"/>
      <c r="C419" s="43"/>
      <c r="D419" s="43"/>
      <c r="E419" s="43"/>
      <c r="F419" s="43"/>
    </row>
    <row r="420" spans="1:6" ht="15.75" customHeight="1" x14ac:dyDescent="0.25">
      <c r="B420" s="43"/>
      <c r="C420" s="43"/>
      <c r="D420" s="43"/>
      <c r="E420" s="43"/>
      <c r="F420" s="43"/>
    </row>
    <row r="421" spans="1:6" ht="15.75" customHeight="1" x14ac:dyDescent="0.25">
      <c r="A421" s="12"/>
      <c r="B421" s="43"/>
      <c r="C421" s="43"/>
      <c r="D421" s="43"/>
      <c r="E421" s="43"/>
      <c r="F421" s="43"/>
    </row>
    <row r="422" spans="1:6" ht="15.75" customHeight="1" x14ac:dyDescent="0.25">
      <c r="B422" s="43"/>
      <c r="C422" s="43"/>
      <c r="D422" s="43"/>
      <c r="E422" s="43"/>
      <c r="F422" s="43"/>
    </row>
    <row r="423" spans="1:6" ht="15.75" customHeight="1" x14ac:dyDescent="0.25">
      <c r="B423" s="43"/>
      <c r="C423" s="43"/>
      <c r="D423" s="43"/>
      <c r="E423" s="43"/>
      <c r="F423" s="43"/>
    </row>
    <row r="424" spans="1:6" ht="15.75" customHeight="1" x14ac:dyDescent="0.25">
      <c r="B424" s="43"/>
      <c r="C424" s="43"/>
      <c r="D424" s="43"/>
      <c r="E424" s="43"/>
      <c r="F424" s="43"/>
    </row>
    <row r="425" spans="1:6" ht="15.75" customHeight="1" x14ac:dyDescent="0.25">
      <c r="B425" s="43"/>
      <c r="C425" s="43"/>
      <c r="D425" s="43"/>
      <c r="E425" s="43"/>
      <c r="F425" s="43"/>
    </row>
    <row r="426" spans="1:6" ht="15.75" customHeight="1" x14ac:dyDescent="0.25">
      <c r="B426" s="43"/>
      <c r="C426" s="43"/>
      <c r="D426" s="43"/>
      <c r="E426" s="43"/>
      <c r="F426" s="43"/>
    </row>
    <row r="427" spans="1:6" ht="15.75" customHeight="1" x14ac:dyDescent="0.25">
      <c r="B427" s="43"/>
      <c r="C427" s="43"/>
      <c r="D427" s="43"/>
      <c r="E427" s="43"/>
      <c r="F427" s="43"/>
    </row>
    <row r="428" spans="1:6" ht="15.75" customHeight="1" x14ac:dyDescent="0.25">
      <c r="B428" s="43"/>
      <c r="C428" s="43"/>
      <c r="D428" s="43"/>
      <c r="E428" s="43"/>
      <c r="F428" s="43"/>
    </row>
    <row r="429" spans="1:6" ht="15.75" customHeight="1" x14ac:dyDescent="0.25">
      <c r="B429" s="43"/>
      <c r="C429" s="43"/>
      <c r="D429" s="43"/>
      <c r="E429" s="43"/>
      <c r="F429" s="43"/>
    </row>
    <row r="430" spans="1:6" ht="15.75" customHeight="1" x14ac:dyDescent="0.25">
      <c r="B430" s="43"/>
      <c r="C430" s="43"/>
      <c r="D430" s="43"/>
      <c r="E430" s="43"/>
      <c r="F430" s="43"/>
    </row>
    <row r="431" spans="1:6" ht="15.75" customHeight="1" x14ac:dyDescent="0.25">
      <c r="B431" s="43"/>
      <c r="C431" s="43"/>
      <c r="D431" s="43"/>
      <c r="E431" s="43"/>
      <c r="F431" s="43"/>
    </row>
    <row r="432" spans="1:6" ht="15.75" customHeight="1" x14ac:dyDescent="0.25">
      <c r="B432" s="43"/>
      <c r="C432" s="43"/>
      <c r="D432" s="43"/>
      <c r="E432" s="43"/>
      <c r="F432" s="43"/>
    </row>
    <row r="433" spans="1:6" ht="15.75" customHeight="1" x14ac:dyDescent="0.25">
      <c r="A433" s="12"/>
      <c r="B433" s="43"/>
      <c r="C433" s="43"/>
      <c r="D433" s="43"/>
      <c r="E433" s="43"/>
      <c r="F433" s="43"/>
    </row>
    <row r="434" spans="1:6" ht="15.75" customHeight="1" x14ac:dyDescent="0.25">
      <c r="B434" s="43"/>
      <c r="C434" s="43"/>
      <c r="D434" s="43"/>
      <c r="E434" s="43"/>
      <c r="F434" s="43"/>
    </row>
    <row r="435" spans="1:6" ht="15.75" customHeight="1" x14ac:dyDescent="0.25">
      <c r="B435" s="43"/>
      <c r="C435" s="43"/>
      <c r="D435" s="43"/>
      <c r="E435" s="43"/>
      <c r="F435" s="43"/>
    </row>
    <row r="436" spans="1:6" ht="15.75" customHeight="1" x14ac:dyDescent="0.25">
      <c r="B436" s="43"/>
      <c r="C436" s="43"/>
      <c r="D436" s="43"/>
      <c r="E436" s="43"/>
      <c r="F436" s="43"/>
    </row>
    <row r="437" spans="1:6" ht="15.75" customHeight="1" x14ac:dyDescent="0.25">
      <c r="B437" s="43"/>
      <c r="C437" s="43"/>
      <c r="D437" s="43"/>
      <c r="E437" s="43"/>
      <c r="F437" s="43"/>
    </row>
    <row r="438" spans="1:6" ht="15.75" customHeight="1" x14ac:dyDescent="0.25">
      <c r="B438" s="43"/>
      <c r="C438" s="43"/>
      <c r="D438" s="43"/>
      <c r="E438" s="43"/>
      <c r="F438" s="43"/>
    </row>
    <row r="439" spans="1:6" ht="15.75" customHeight="1" x14ac:dyDescent="0.25">
      <c r="B439" s="43"/>
      <c r="C439" s="43"/>
      <c r="D439" s="43"/>
      <c r="E439" s="43"/>
      <c r="F439" s="43"/>
    </row>
    <row r="440" spans="1:6" ht="15.75" customHeight="1" x14ac:dyDescent="0.25">
      <c r="B440" s="43"/>
      <c r="C440" s="43"/>
      <c r="D440" s="43"/>
      <c r="E440" s="43"/>
      <c r="F440" s="43"/>
    </row>
    <row r="441" spans="1:6" ht="15.75" customHeight="1" x14ac:dyDescent="0.25">
      <c r="B441" s="43"/>
      <c r="C441" s="43"/>
      <c r="D441" s="43"/>
      <c r="E441" s="43"/>
      <c r="F441" s="43"/>
    </row>
    <row r="442" spans="1:6" ht="15.75" customHeight="1" x14ac:dyDescent="0.25">
      <c r="B442" s="43"/>
      <c r="C442" s="43"/>
      <c r="D442" s="43"/>
      <c r="E442" s="43"/>
      <c r="F442" s="43"/>
    </row>
    <row r="443" spans="1:6" ht="15.75" customHeight="1" x14ac:dyDescent="0.25">
      <c r="B443" s="43"/>
      <c r="C443" s="43"/>
      <c r="D443" s="43"/>
      <c r="E443" s="43"/>
      <c r="F443" s="43"/>
    </row>
    <row r="444" spans="1:6" ht="15.75" customHeight="1" x14ac:dyDescent="0.25">
      <c r="B444" s="43"/>
      <c r="C444" s="43"/>
      <c r="D444" s="43"/>
      <c r="E444" s="43"/>
      <c r="F444" s="43"/>
    </row>
    <row r="445" spans="1:6" ht="15.75" customHeight="1" x14ac:dyDescent="0.25">
      <c r="A445" s="12"/>
      <c r="B445" s="43"/>
      <c r="C445" s="43"/>
      <c r="D445" s="43"/>
      <c r="E445" s="43"/>
      <c r="F445" s="43"/>
    </row>
    <row r="446" spans="1:6" ht="15.75" customHeight="1" x14ac:dyDescent="0.25">
      <c r="B446" s="43"/>
      <c r="C446" s="43"/>
      <c r="D446" s="43"/>
      <c r="E446" s="43"/>
      <c r="F446" s="43"/>
    </row>
    <row r="447" spans="1:6" ht="15.75" customHeight="1" x14ac:dyDescent="0.25">
      <c r="A447" s="12"/>
      <c r="B447" s="43"/>
      <c r="C447" s="43"/>
      <c r="D447" s="43"/>
      <c r="E447" s="43"/>
      <c r="F447" s="43"/>
    </row>
    <row r="448" spans="1:6" ht="15.75" customHeight="1" x14ac:dyDescent="0.25">
      <c r="A448" s="12"/>
      <c r="B448" s="43"/>
      <c r="C448" s="43"/>
      <c r="D448" s="43"/>
      <c r="E448" s="43"/>
      <c r="F448" s="43"/>
    </row>
    <row r="449" spans="1:6" ht="15.75" customHeight="1" x14ac:dyDescent="0.25">
      <c r="A449" s="12"/>
      <c r="B449" s="43"/>
      <c r="C449" s="43"/>
      <c r="D449" s="43"/>
      <c r="E449" s="43"/>
      <c r="F449" s="43"/>
    </row>
    <row r="450" spans="1:6" ht="15.75" customHeight="1" x14ac:dyDescent="0.25">
      <c r="A450" s="12"/>
      <c r="B450" s="43"/>
      <c r="C450" s="43"/>
      <c r="D450" s="43"/>
      <c r="E450" s="43"/>
      <c r="F450" s="43"/>
    </row>
    <row r="451" spans="1:6" ht="15.75" customHeight="1" x14ac:dyDescent="0.25">
      <c r="B451" s="43"/>
      <c r="C451" s="43"/>
      <c r="D451" s="43"/>
      <c r="E451" s="43"/>
      <c r="F451" s="43"/>
    </row>
    <row r="452" spans="1:6" ht="15.75" customHeight="1" x14ac:dyDescent="0.25">
      <c r="B452" s="43"/>
      <c r="C452" s="43"/>
      <c r="D452" s="43"/>
      <c r="E452" s="43"/>
      <c r="F452" s="43"/>
    </row>
    <row r="453" spans="1:6" ht="15.75" customHeight="1" x14ac:dyDescent="0.25">
      <c r="B453" s="43"/>
      <c r="C453" s="43"/>
      <c r="D453" s="43"/>
      <c r="E453" s="43"/>
      <c r="F453" s="43"/>
    </row>
    <row r="454" spans="1:6" ht="15.75" customHeight="1" x14ac:dyDescent="0.25">
      <c r="B454" s="43"/>
      <c r="C454" s="43"/>
      <c r="D454" s="43"/>
      <c r="E454" s="43"/>
      <c r="F454" s="43"/>
    </row>
    <row r="455" spans="1:6" ht="15.75" customHeight="1" x14ac:dyDescent="0.25">
      <c r="B455" s="43"/>
      <c r="C455" s="43"/>
      <c r="D455" s="43"/>
      <c r="E455" s="43"/>
      <c r="F455" s="43"/>
    </row>
    <row r="456" spans="1:6" ht="15.75" customHeight="1" x14ac:dyDescent="0.25">
      <c r="B456" s="43"/>
      <c r="C456" s="43"/>
      <c r="D456" s="43"/>
      <c r="E456" s="43"/>
      <c r="F456" s="43"/>
    </row>
    <row r="457" spans="1:6" ht="15.75" customHeight="1" x14ac:dyDescent="0.25">
      <c r="A457" s="12"/>
      <c r="B457" s="43"/>
      <c r="C457" s="43"/>
      <c r="D457" s="43"/>
      <c r="E457" s="43"/>
      <c r="F457" s="43"/>
    </row>
    <row r="458" spans="1:6" ht="15.75" customHeight="1" x14ac:dyDescent="0.25">
      <c r="B458" s="43"/>
      <c r="C458" s="43"/>
      <c r="D458" s="43"/>
      <c r="E458" s="43"/>
      <c r="F458" s="43"/>
    </row>
    <row r="459" spans="1:6" ht="15.75" customHeight="1" x14ac:dyDescent="0.25">
      <c r="A459" s="12"/>
      <c r="B459" s="43"/>
      <c r="C459" s="43"/>
      <c r="D459" s="43"/>
      <c r="E459" s="43"/>
      <c r="F459" s="43"/>
    </row>
    <row r="460" spans="1:6" ht="15.75" customHeight="1" x14ac:dyDescent="0.25">
      <c r="A460" s="12"/>
      <c r="B460" s="43"/>
      <c r="C460" s="43"/>
      <c r="D460" s="43"/>
      <c r="E460" s="43"/>
      <c r="F460" s="43"/>
    </row>
    <row r="461" spans="1:6" ht="15.75" customHeight="1" x14ac:dyDescent="0.25">
      <c r="A461" s="12"/>
      <c r="B461" s="43"/>
      <c r="C461" s="43"/>
      <c r="D461" s="43"/>
      <c r="E461" s="43"/>
      <c r="F461" s="43"/>
    </row>
    <row r="462" spans="1:6" ht="15.75" customHeight="1" x14ac:dyDescent="0.25">
      <c r="A462" s="12"/>
      <c r="B462" s="43"/>
      <c r="C462" s="43"/>
      <c r="D462" s="43"/>
      <c r="E462" s="43"/>
      <c r="F462" s="43"/>
    </row>
    <row r="463" spans="1:6" ht="15.75" customHeight="1" x14ac:dyDescent="0.25">
      <c r="A463" s="12"/>
      <c r="B463" s="43"/>
      <c r="C463" s="43"/>
      <c r="D463" s="43"/>
      <c r="E463" s="43"/>
      <c r="F463" s="43"/>
    </row>
    <row r="464" spans="1:6" ht="15.75" customHeight="1" x14ac:dyDescent="0.25">
      <c r="B464" s="43"/>
      <c r="C464" s="43"/>
      <c r="D464" s="43"/>
      <c r="E464" s="43"/>
      <c r="F464" s="43"/>
    </row>
    <row r="465" spans="1:6" ht="15.75" customHeight="1" x14ac:dyDescent="0.25">
      <c r="B465" s="43"/>
      <c r="C465" s="43"/>
      <c r="D465" s="43"/>
      <c r="E465" s="43"/>
      <c r="F465" s="43"/>
    </row>
    <row r="466" spans="1:6" ht="15.75" customHeight="1" x14ac:dyDescent="0.25">
      <c r="B466" s="43"/>
      <c r="C466" s="43"/>
      <c r="D466" s="43"/>
      <c r="E466" s="43"/>
      <c r="F466" s="43"/>
    </row>
    <row r="467" spans="1:6" ht="15.75" customHeight="1" x14ac:dyDescent="0.25">
      <c r="B467" s="43"/>
      <c r="C467" s="43"/>
      <c r="D467" s="43"/>
      <c r="E467" s="43"/>
      <c r="F467" s="43"/>
    </row>
    <row r="468" spans="1:6" ht="15.75" customHeight="1" x14ac:dyDescent="0.25">
      <c r="B468" s="43"/>
      <c r="C468" s="43"/>
      <c r="D468" s="43"/>
      <c r="E468" s="43"/>
      <c r="F468" s="43"/>
    </row>
    <row r="469" spans="1:6" ht="15.75" customHeight="1" x14ac:dyDescent="0.25">
      <c r="A469" s="12"/>
      <c r="B469" s="43"/>
      <c r="C469" s="43"/>
      <c r="D469" s="43"/>
      <c r="E469" s="43"/>
      <c r="F469" s="43"/>
    </row>
    <row r="470" spans="1:6" ht="15.75" customHeight="1" x14ac:dyDescent="0.25">
      <c r="B470" s="43"/>
      <c r="C470" s="43"/>
      <c r="D470" s="43"/>
      <c r="E470" s="43"/>
      <c r="F470" s="43"/>
    </row>
    <row r="471" spans="1:6" ht="15.75" customHeight="1" x14ac:dyDescent="0.25">
      <c r="A471" s="12"/>
      <c r="B471" s="43"/>
      <c r="C471" s="43"/>
      <c r="D471" s="43"/>
      <c r="E471" s="43"/>
      <c r="F471" s="43"/>
    </row>
    <row r="472" spans="1:6" ht="15.75" customHeight="1" x14ac:dyDescent="0.25">
      <c r="A472" s="12"/>
      <c r="B472" s="43"/>
      <c r="C472" s="43"/>
      <c r="D472" s="43"/>
      <c r="E472" s="43"/>
      <c r="F472" s="43"/>
    </row>
    <row r="473" spans="1:6" ht="15.75" customHeight="1" x14ac:dyDescent="0.25">
      <c r="A473" s="12"/>
      <c r="B473" s="43"/>
      <c r="C473" s="43"/>
      <c r="D473" s="43"/>
      <c r="E473" s="43"/>
      <c r="F473" s="43"/>
    </row>
    <row r="474" spans="1:6" ht="15.75" customHeight="1" x14ac:dyDescent="0.25">
      <c r="A474" s="12"/>
      <c r="B474" s="43"/>
      <c r="C474" s="43"/>
      <c r="D474" s="43"/>
      <c r="E474" s="43"/>
      <c r="F474" s="43"/>
    </row>
    <row r="475" spans="1:6" ht="15.75" customHeight="1" x14ac:dyDescent="0.25">
      <c r="B475" s="43"/>
      <c r="C475" s="43"/>
      <c r="D475" s="43"/>
      <c r="E475" s="43"/>
      <c r="F475" s="43"/>
    </row>
    <row r="476" spans="1:6" ht="15.75" customHeight="1" x14ac:dyDescent="0.25">
      <c r="B476" s="43"/>
      <c r="C476" s="43"/>
      <c r="D476" s="43"/>
      <c r="E476" s="43"/>
      <c r="F476" s="43"/>
    </row>
    <row r="477" spans="1:6" ht="15.75" customHeight="1" x14ac:dyDescent="0.25">
      <c r="B477" s="43"/>
      <c r="C477" s="43"/>
      <c r="D477" s="43"/>
      <c r="E477" s="43"/>
      <c r="F477" s="43"/>
    </row>
    <row r="478" spans="1:6" ht="15.75" customHeight="1" x14ac:dyDescent="0.25">
      <c r="B478" s="43"/>
      <c r="C478" s="43"/>
      <c r="D478" s="43"/>
      <c r="E478" s="43"/>
      <c r="F478" s="43"/>
    </row>
    <row r="479" spans="1:6" ht="15.75" customHeight="1" x14ac:dyDescent="0.25">
      <c r="B479" s="43"/>
      <c r="C479" s="43"/>
      <c r="D479" s="43"/>
      <c r="E479" s="43"/>
      <c r="F479" s="43"/>
    </row>
    <row r="480" spans="1:6" ht="15.75" customHeight="1" x14ac:dyDescent="0.25">
      <c r="B480" s="43"/>
      <c r="C480" s="43"/>
      <c r="D480" s="43"/>
      <c r="E480" s="43"/>
      <c r="F480" s="43"/>
    </row>
    <row r="481" spans="1:6" ht="15.75" customHeight="1" x14ac:dyDescent="0.25">
      <c r="A481" s="12"/>
      <c r="B481" s="43"/>
      <c r="C481" s="43"/>
      <c r="D481" s="43"/>
      <c r="E481" s="43"/>
      <c r="F481" s="43"/>
    </row>
    <row r="482" spans="1:6" ht="15.75" customHeight="1" x14ac:dyDescent="0.25">
      <c r="B482" s="43"/>
      <c r="C482" s="43"/>
      <c r="D482" s="43"/>
      <c r="E482" s="43"/>
      <c r="F482" s="43"/>
    </row>
    <row r="483" spans="1:6" ht="15.75" customHeight="1" x14ac:dyDescent="0.25">
      <c r="A483" s="12"/>
      <c r="B483" s="43"/>
      <c r="C483" s="43"/>
      <c r="D483" s="43"/>
      <c r="E483" s="43"/>
      <c r="F483" s="43"/>
    </row>
    <row r="484" spans="1:6" ht="15.75" customHeight="1" x14ac:dyDescent="0.25">
      <c r="A484" s="12"/>
      <c r="B484" s="43"/>
      <c r="C484" s="43"/>
      <c r="D484" s="43"/>
      <c r="E484" s="43"/>
      <c r="F484" s="43"/>
    </row>
    <row r="485" spans="1:6" ht="15.75" customHeight="1" x14ac:dyDescent="0.25">
      <c r="A485" s="12"/>
      <c r="B485" s="43"/>
      <c r="C485" s="43"/>
      <c r="D485" s="43"/>
      <c r="E485" s="43"/>
      <c r="F485" s="43"/>
    </row>
    <row r="486" spans="1:6" ht="15.75" customHeight="1" x14ac:dyDescent="0.25">
      <c r="A486" s="12"/>
      <c r="B486" s="43"/>
      <c r="C486" s="43"/>
      <c r="D486" s="43"/>
      <c r="E486" s="43"/>
      <c r="F486" s="43"/>
    </row>
    <row r="487" spans="1:6" ht="15.75" customHeight="1" x14ac:dyDescent="0.25">
      <c r="B487" s="43"/>
      <c r="C487" s="43"/>
      <c r="D487" s="43"/>
      <c r="E487" s="43"/>
      <c r="F487" s="43"/>
    </row>
    <row r="488" spans="1:6" ht="15.75" customHeight="1" x14ac:dyDescent="0.25">
      <c r="B488" s="43"/>
      <c r="C488" s="43"/>
      <c r="D488" s="43"/>
      <c r="E488" s="43"/>
      <c r="F488" s="43"/>
    </row>
    <row r="489" spans="1:6" ht="15.75" customHeight="1" x14ac:dyDescent="0.25">
      <c r="B489" s="43"/>
      <c r="C489" s="43"/>
      <c r="D489" s="43"/>
      <c r="E489" s="43"/>
      <c r="F489" s="43"/>
    </row>
    <row r="490" spans="1:6" ht="15.75" customHeight="1" x14ac:dyDescent="0.25">
      <c r="B490" s="43"/>
      <c r="C490" s="43"/>
      <c r="D490" s="43"/>
      <c r="E490" s="43"/>
      <c r="F490" s="43"/>
    </row>
    <row r="491" spans="1:6" ht="15.75" customHeight="1" x14ac:dyDescent="0.25">
      <c r="B491" s="43"/>
      <c r="C491" s="43"/>
      <c r="D491" s="43"/>
      <c r="E491" s="43"/>
      <c r="F491" s="43"/>
    </row>
    <row r="492" spans="1:6" ht="15.75" customHeight="1" x14ac:dyDescent="0.25">
      <c r="B492" s="43"/>
      <c r="C492" s="43"/>
      <c r="D492" s="43"/>
      <c r="E492" s="43"/>
      <c r="F492" s="43"/>
    </row>
    <row r="493" spans="1:6" ht="15.75" customHeight="1" x14ac:dyDescent="0.25">
      <c r="A493" s="12"/>
      <c r="B493" s="43"/>
      <c r="C493" s="43"/>
      <c r="D493" s="43"/>
      <c r="E493" s="43"/>
      <c r="F493" s="43"/>
    </row>
    <row r="494" spans="1:6" ht="15.75" customHeight="1" x14ac:dyDescent="0.25">
      <c r="B494" s="43"/>
      <c r="C494" s="43"/>
      <c r="D494" s="43"/>
      <c r="E494" s="43"/>
      <c r="F494" s="43"/>
    </row>
    <row r="495" spans="1:6" ht="15.75" customHeight="1" x14ac:dyDescent="0.25">
      <c r="A495" s="12"/>
      <c r="B495" s="43"/>
      <c r="C495" s="43"/>
      <c r="D495" s="43"/>
      <c r="E495" s="43"/>
      <c r="F495" s="43"/>
    </row>
    <row r="496" spans="1:6" ht="15.75" customHeight="1" x14ac:dyDescent="0.25">
      <c r="A496" s="12"/>
      <c r="B496" s="43"/>
      <c r="C496" s="43"/>
      <c r="D496" s="43"/>
      <c r="E496" s="43"/>
      <c r="F496" s="43"/>
    </row>
    <row r="497" spans="1:6" ht="15.75" customHeight="1" x14ac:dyDescent="0.25">
      <c r="A497" s="12"/>
      <c r="B497" s="43"/>
      <c r="C497" s="43"/>
      <c r="D497" s="43"/>
      <c r="E497" s="43"/>
      <c r="F497" s="43"/>
    </row>
    <row r="498" spans="1:6" ht="15.75" customHeight="1" x14ac:dyDescent="0.25">
      <c r="A498" s="12"/>
      <c r="B498" s="43"/>
      <c r="C498" s="43"/>
      <c r="D498" s="43"/>
      <c r="E498" s="43"/>
      <c r="F498" s="43"/>
    </row>
    <row r="499" spans="1:6" ht="15.75" customHeight="1" x14ac:dyDescent="0.25">
      <c r="A499" s="12"/>
      <c r="B499" s="43"/>
      <c r="C499" s="43"/>
      <c r="D499" s="43"/>
      <c r="E499" s="43"/>
      <c r="F499" s="43"/>
    </row>
    <row r="500" spans="1:6" ht="15.75" customHeight="1" x14ac:dyDescent="0.25">
      <c r="B500" s="43"/>
      <c r="C500" s="43"/>
      <c r="D500" s="43"/>
      <c r="E500" s="43"/>
      <c r="F500" s="43"/>
    </row>
    <row r="501" spans="1:6" ht="15.75" customHeight="1" x14ac:dyDescent="0.25">
      <c r="B501" s="43"/>
      <c r="C501" s="43"/>
      <c r="D501" s="43"/>
      <c r="E501" s="43"/>
      <c r="F501" s="43"/>
    </row>
    <row r="502" spans="1:6" ht="15.75" customHeight="1" x14ac:dyDescent="0.25">
      <c r="B502" s="43"/>
      <c r="C502" s="43"/>
      <c r="D502" s="43"/>
      <c r="E502" s="43"/>
      <c r="F502" s="43"/>
    </row>
    <row r="503" spans="1:6" ht="15.75" customHeight="1" x14ac:dyDescent="0.25">
      <c r="B503" s="43"/>
      <c r="C503" s="43"/>
      <c r="D503" s="43"/>
      <c r="E503" s="43"/>
      <c r="F503" s="43"/>
    </row>
    <row r="504" spans="1:6" ht="15.75" customHeight="1" x14ac:dyDescent="0.25">
      <c r="B504" s="43"/>
      <c r="C504" s="43"/>
      <c r="D504" s="43"/>
      <c r="E504" s="43"/>
      <c r="F504" s="43"/>
    </row>
    <row r="505" spans="1:6" ht="15.75" customHeight="1" x14ac:dyDescent="0.25">
      <c r="A505" s="12"/>
      <c r="B505" s="43"/>
      <c r="C505" s="43"/>
      <c r="D505" s="43"/>
      <c r="E505" s="43"/>
      <c r="F505" s="43"/>
    </row>
    <row r="506" spans="1:6" ht="15.75" customHeight="1" x14ac:dyDescent="0.25">
      <c r="B506" s="43"/>
      <c r="C506" s="43"/>
      <c r="D506" s="43"/>
      <c r="E506" s="43"/>
      <c r="F506" s="43"/>
    </row>
    <row r="507" spans="1:6" ht="15.75" customHeight="1" x14ac:dyDescent="0.25">
      <c r="A507" s="12"/>
      <c r="B507" s="43"/>
      <c r="C507" s="43"/>
      <c r="D507" s="43"/>
      <c r="E507" s="43"/>
      <c r="F507" s="43"/>
    </row>
    <row r="508" spans="1:6" ht="15.75" customHeight="1" x14ac:dyDescent="0.25">
      <c r="A508" s="12"/>
      <c r="B508" s="43"/>
      <c r="C508" s="43"/>
      <c r="D508" s="43"/>
      <c r="E508" s="43"/>
      <c r="F508" s="43"/>
    </row>
    <row r="509" spans="1:6" ht="15.75" customHeight="1" x14ac:dyDescent="0.25">
      <c r="A509" s="12"/>
      <c r="B509" s="43"/>
      <c r="C509" s="43"/>
      <c r="D509" s="43"/>
      <c r="E509" s="43"/>
      <c r="F509" s="43"/>
    </row>
    <row r="510" spans="1:6" ht="15.75" customHeight="1" x14ac:dyDescent="0.25">
      <c r="A510" s="12"/>
      <c r="B510" s="43"/>
      <c r="C510" s="43"/>
      <c r="D510" s="43"/>
      <c r="E510" s="43"/>
      <c r="F510" s="43"/>
    </row>
    <row r="511" spans="1:6" ht="15.75" customHeight="1" x14ac:dyDescent="0.25">
      <c r="B511" s="43"/>
      <c r="C511" s="43"/>
      <c r="D511" s="43"/>
      <c r="E511" s="43"/>
      <c r="F511" s="43"/>
    </row>
    <row r="512" spans="1:6" ht="15.75" customHeight="1" x14ac:dyDescent="0.25">
      <c r="B512" s="43"/>
      <c r="C512" s="43"/>
      <c r="D512" s="43"/>
      <c r="E512" s="43"/>
      <c r="F512" s="43"/>
    </row>
    <row r="513" spans="1:6" ht="15.75" customHeight="1" x14ac:dyDescent="0.25">
      <c r="B513" s="43"/>
      <c r="C513" s="43"/>
      <c r="D513" s="43"/>
      <c r="E513" s="43"/>
      <c r="F513" s="43"/>
    </row>
    <row r="514" spans="1:6" ht="15.75" customHeight="1" x14ac:dyDescent="0.25">
      <c r="B514" s="43"/>
      <c r="C514" s="43"/>
      <c r="D514" s="43"/>
      <c r="E514" s="43"/>
      <c r="F514" s="43"/>
    </row>
    <row r="515" spans="1:6" ht="15.75" customHeight="1" x14ac:dyDescent="0.25">
      <c r="B515" s="43"/>
      <c r="C515" s="43"/>
      <c r="D515" s="43"/>
      <c r="E515" s="43"/>
      <c r="F515" s="43"/>
    </row>
    <row r="516" spans="1:6" ht="15.75" customHeight="1" x14ac:dyDescent="0.25">
      <c r="B516" s="43"/>
      <c r="C516" s="43"/>
      <c r="D516" s="43"/>
      <c r="E516" s="43"/>
      <c r="F516" s="43"/>
    </row>
    <row r="517" spans="1:6" ht="15.75" customHeight="1" x14ac:dyDescent="0.25">
      <c r="A517" s="12"/>
      <c r="B517" s="43"/>
      <c r="C517" s="43"/>
      <c r="D517" s="43"/>
      <c r="E517" s="43"/>
      <c r="F517" s="43"/>
    </row>
    <row r="518" spans="1:6" ht="15.75" customHeight="1" x14ac:dyDescent="0.25">
      <c r="B518" s="43"/>
      <c r="C518" s="43"/>
      <c r="D518" s="43"/>
      <c r="E518" s="43"/>
      <c r="F518" s="43"/>
    </row>
    <row r="519" spans="1:6" ht="15.75" customHeight="1" x14ac:dyDescent="0.25">
      <c r="A519" s="12"/>
      <c r="B519" s="43"/>
      <c r="C519" s="43"/>
      <c r="D519" s="43"/>
      <c r="E519" s="43"/>
      <c r="F519" s="43"/>
    </row>
    <row r="520" spans="1:6" ht="15.75" customHeight="1" x14ac:dyDescent="0.25">
      <c r="A520" s="12"/>
      <c r="B520" s="43"/>
      <c r="C520" s="43"/>
      <c r="D520" s="43"/>
      <c r="E520" s="43"/>
      <c r="F520" s="43"/>
    </row>
    <row r="521" spans="1:6" ht="15.75" customHeight="1" x14ac:dyDescent="0.25">
      <c r="A521" s="12"/>
      <c r="B521" s="43"/>
      <c r="C521" s="43"/>
      <c r="D521" s="43"/>
      <c r="E521" s="43"/>
      <c r="F521" s="43"/>
    </row>
    <row r="522" spans="1:6" ht="15.75" customHeight="1" x14ac:dyDescent="0.25">
      <c r="A522" s="12"/>
      <c r="B522" s="43"/>
      <c r="C522" s="43"/>
      <c r="D522" s="43"/>
      <c r="E522" s="43"/>
      <c r="F522" s="43"/>
    </row>
    <row r="523" spans="1:6" ht="15.75" customHeight="1" x14ac:dyDescent="0.25">
      <c r="B523" s="43"/>
      <c r="C523" s="43"/>
      <c r="D523" s="43"/>
      <c r="E523" s="43"/>
      <c r="F523" s="43"/>
    </row>
    <row r="524" spans="1:6" ht="15.75" customHeight="1" x14ac:dyDescent="0.25">
      <c r="B524" s="43"/>
      <c r="C524" s="43"/>
      <c r="D524" s="43"/>
      <c r="E524" s="43"/>
      <c r="F524" s="43"/>
    </row>
    <row r="525" spans="1:6" ht="15.75" customHeight="1" x14ac:dyDescent="0.25">
      <c r="B525" s="43"/>
      <c r="C525" s="43"/>
      <c r="D525" s="43"/>
      <c r="E525" s="43"/>
      <c r="F525" s="43"/>
    </row>
    <row r="526" spans="1:6" ht="15.75" customHeight="1" x14ac:dyDescent="0.25">
      <c r="B526" s="43"/>
      <c r="C526" s="43"/>
      <c r="D526" s="43"/>
      <c r="E526" s="43"/>
      <c r="F526" s="43"/>
    </row>
    <row r="527" spans="1:6" ht="15.75" customHeight="1" x14ac:dyDescent="0.25">
      <c r="B527" s="43"/>
      <c r="C527" s="43"/>
      <c r="D527" s="43"/>
      <c r="E527" s="43"/>
      <c r="F527" s="43"/>
    </row>
    <row r="528" spans="1:6" ht="15.75" customHeight="1" x14ac:dyDescent="0.25">
      <c r="B528" s="43"/>
      <c r="C528" s="43"/>
      <c r="D528" s="43"/>
      <c r="E528" s="43"/>
      <c r="F528" s="43"/>
    </row>
    <row r="529" spans="1:6" ht="15.75" customHeight="1" x14ac:dyDescent="0.25">
      <c r="A529" s="12"/>
      <c r="B529" s="43"/>
      <c r="C529" s="43"/>
      <c r="D529" s="43"/>
      <c r="E529" s="43"/>
      <c r="F529" s="43"/>
    </row>
    <row r="530" spans="1:6" ht="15.75" customHeight="1" x14ac:dyDescent="0.25">
      <c r="B530" s="43"/>
      <c r="C530" s="43"/>
      <c r="D530" s="43"/>
      <c r="E530" s="43"/>
      <c r="F530" s="43"/>
    </row>
    <row r="531" spans="1:6" ht="15.75" customHeight="1" x14ac:dyDescent="0.25">
      <c r="A531" s="12"/>
      <c r="B531" s="43"/>
      <c r="C531" s="43"/>
      <c r="D531" s="43"/>
      <c r="E531" s="43"/>
      <c r="F531" s="43"/>
    </row>
    <row r="532" spans="1:6" ht="15.75" customHeight="1" x14ac:dyDescent="0.25">
      <c r="A532" s="12"/>
      <c r="B532" s="43"/>
      <c r="C532" s="43"/>
      <c r="D532" s="43"/>
      <c r="E532" s="43"/>
      <c r="F532" s="43"/>
    </row>
    <row r="533" spans="1:6" ht="15.75" customHeight="1" x14ac:dyDescent="0.25">
      <c r="A533" s="12"/>
      <c r="B533" s="43"/>
      <c r="C533" s="43"/>
      <c r="D533" s="43"/>
      <c r="E533" s="43"/>
      <c r="F533" s="43"/>
    </row>
    <row r="534" spans="1:6" ht="15.75" customHeight="1" x14ac:dyDescent="0.25">
      <c r="A534" s="12"/>
      <c r="B534" s="43"/>
      <c r="C534" s="43"/>
      <c r="D534" s="43"/>
      <c r="E534" s="43"/>
      <c r="F534" s="43"/>
    </row>
    <row r="535" spans="1:6" ht="15.75" customHeight="1" x14ac:dyDescent="0.25">
      <c r="A535" s="12"/>
      <c r="B535" s="43"/>
      <c r="C535" s="43"/>
      <c r="D535" s="43"/>
      <c r="E535" s="43"/>
      <c r="F535" s="43"/>
    </row>
    <row r="536" spans="1:6" ht="15.75" customHeight="1" x14ac:dyDescent="0.25">
      <c r="B536" s="43"/>
      <c r="C536" s="43"/>
      <c r="D536" s="43"/>
      <c r="E536" s="43"/>
      <c r="F536" s="43"/>
    </row>
    <row r="537" spans="1:6" ht="15.75" customHeight="1" x14ac:dyDescent="0.25">
      <c r="B537" s="43"/>
      <c r="C537" s="43"/>
      <c r="D537" s="43"/>
      <c r="E537" s="43"/>
      <c r="F537" s="43"/>
    </row>
    <row r="538" spans="1:6" ht="15.75" customHeight="1" x14ac:dyDescent="0.25">
      <c r="B538" s="43"/>
      <c r="C538" s="43"/>
      <c r="D538" s="43"/>
      <c r="E538" s="43"/>
      <c r="F538" s="43"/>
    </row>
    <row r="539" spans="1:6" ht="15.75" customHeight="1" x14ac:dyDescent="0.25">
      <c r="B539" s="43"/>
      <c r="C539" s="43"/>
      <c r="D539" s="43"/>
      <c r="E539" s="43"/>
      <c r="F539" s="43"/>
    </row>
    <row r="540" spans="1:6" ht="15.75" customHeight="1" x14ac:dyDescent="0.25">
      <c r="B540" s="43"/>
      <c r="C540" s="43"/>
      <c r="D540" s="43"/>
      <c r="E540" s="43"/>
      <c r="F540" s="43"/>
    </row>
    <row r="541" spans="1:6" ht="15.75" customHeight="1" x14ac:dyDescent="0.25">
      <c r="A541" s="12"/>
      <c r="B541" s="43"/>
      <c r="C541" s="43"/>
      <c r="D541" s="43"/>
      <c r="E541" s="43"/>
      <c r="F541" s="43"/>
    </row>
    <row r="542" spans="1:6" ht="15.75" customHeight="1" x14ac:dyDescent="0.25">
      <c r="B542" s="43"/>
      <c r="C542" s="43"/>
      <c r="D542" s="43"/>
      <c r="E542" s="43"/>
      <c r="F542" s="43"/>
    </row>
    <row r="543" spans="1:6" ht="15.75" customHeight="1" x14ac:dyDescent="0.25">
      <c r="A543" s="12"/>
      <c r="B543" s="43"/>
      <c r="C543" s="43"/>
      <c r="D543" s="43"/>
      <c r="E543" s="43"/>
      <c r="F543" s="43"/>
    </row>
    <row r="544" spans="1:6" ht="15.75" customHeight="1" x14ac:dyDescent="0.25">
      <c r="A544" s="12"/>
      <c r="B544" s="43"/>
      <c r="C544" s="43"/>
      <c r="D544" s="43"/>
      <c r="E544" s="43"/>
      <c r="F544" s="43"/>
    </row>
    <row r="545" spans="1:6" ht="15.75" customHeight="1" x14ac:dyDescent="0.25">
      <c r="A545" s="12"/>
      <c r="B545" s="43"/>
      <c r="C545" s="43"/>
      <c r="D545" s="43"/>
      <c r="E545" s="43"/>
      <c r="F545" s="43"/>
    </row>
    <row r="546" spans="1:6" ht="15.75" customHeight="1" x14ac:dyDescent="0.25">
      <c r="A546" s="12"/>
      <c r="B546" s="43"/>
      <c r="C546" s="43"/>
      <c r="D546" s="43"/>
      <c r="E546" s="43"/>
      <c r="F546" s="43"/>
    </row>
    <row r="547" spans="1:6" ht="15.75" customHeight="1" x14ac:dyDescent="0.25">
      <c r="B547" s="43"/>
      <c r="C547" s="43"/>
      <c r="D547" s="43"/>
      <c r="E547" s="43"/>
      <c r="F547" s="43"/>
    </row>
    <row r="548" spans="1:6" ht="15.75" customHeight="1" x14ac:dyDescent="0.25">
      <c r="B548" s="43"/>
      <c r="C548" s="43"/>
      <c r="D548" s="43"/>
      <c r="E548" s="43"/>
      <c r="F548" s="43"/>
    </row>
    <row r="549" spans="1:6" ht="15.75" customHeight="1" x14ac:dyDescent="0.25">
      <c r="B549" s="43"/>
      <c r="C549" s="43"/>
      <c r="D549" s="43"/>
      <c r="E549" s="43"/>
      <c r="F549" s="43"/>
    </row>
    <row r="550" spans="1:6" ht="15.75" customHeight="1" x14ac:dyDescent="0.25">
      <c r="B550" s="43"/>
      <c r="C550" s="43"/>
      <c r="D550" s="43"/>
      <c r="E550" s="43"/>
      <c r="F550" s="43"/>
    </row>
    <row r="551" spans="1:6" ht="15.75" customHeight="1" x14ac:dyDescent="0.25">
      <c r="B551" s="43"/>
      <c r="C551" s="43"/>
      <c r="D551" s="43"/>
      <c r="E551" s="43"/>
      <c r="F551" s="43"/>
    </row>
    <row r="552" spans="1:6" ht="15.75" customHeight="1" x14ac:dyDescent="0.25">
      <c r="B552" s="43"/>
      <c r="C552" s="43"/>
      <c r="D552" s="43"/>
      <c r="E552" s="43"/>
      <c r="F552" s="43"/>
    </row>
    <row r="553" spans="1:6" ht="15.75" customHeight="1" x14ac:dyDescent="0.25">
      <c r="A553" s="12"/>
      <c r="B553" s="43"/>
      <c r="C553" s="43"/>
      <c r="D553" s="43"/>
      <c r="E553" s="43"/>
      <c r="F553" s="43"/>
    </row>
    <row r="554" spans="1:6" ht="15.75" customHeight="1" x14ac:dyDescent="0.25">
      <c r="B554" s="43"/>
      <c r="C554" s="43"/>
      <c r="D554" s="43"/>
      <c r="E554" s="43"/>
      <c r="F554" s="43"/>
    </row>
    <row r="555" spans="1:6" ht="15.75" customHeight="1" x14ac:dyDescent="0.25">
      <c r="A555" s="12"/>
      <c r="B555" s="43"/>
      <c r="C555" s="43"/>
      <c r="D555" s="43"/>
      <c r="E555" s="43"/>
      <c r="F555" s="43"/>
    </row>
    <row r="556" spans="1:6" ht="15.75" customHeight="1" x14ac:dyDescent="0.25">
      <c r="A556" s="12"/>
      <c r="B556" s="43"/>
      <c r="C556" s="43"/>
      <c r="D556" s="43"/>
      <c r="E556" s="43"/>
      <c r="F556" s="43"/>
    </row>
    <row r="557" spans="1:6" ht="15.75" customHeight="1" x14ac:dyDescent="0.25">
      <c r="A557" s="12"/>
      <c r="B557" s="43"/>
      <c r="C557" s="43"/>
      <c r="D557" s="43"/>
      <c r="E557" s="43"/>
      <c r="F557" s="43"/>
    </row>
    <row r="558" spans="1:6" ht="15.75" customHeight="1" x14ac:dyDescent="0.25">
      <c r="A558" s="12"/>
      <c r="B558" s="43"/>
      <c r="C558" s="43"/>
      <c r="D558" s="43"/>
      <c r="E558" s="43"/>
      <c r="F558" s="43"/>
    </row>
    <row r="559" spans="1:6" ht="15.75" customHeight="1" x14ac:dyDescent="0.25">
      <c r="B559" s="43"/>
      <c r="C559" s="43"/>
      <c r="D559" s="43"/>
      <c r="E559" s="43"/>
      <c r="F559" s="43"/>
    </row>
    <row r="560" spans="1:6" ht="15.75" customHeight="1" x14ac:dyDescent="0.25">
      <c r="B560" s="43"/>
      <c r="C560" s="43"/>
      <c r="D560" s="43"/>
      <c r="E560" s="43"/>
      <c r="F560" s="43"/>
    </row>
    <row r="561" spans="1:6" ht="15.75" customHeight="1" x14ac:dyDescent="0.25">
      <c r="B561" s="43"/>
      <c r="C561" s="43"/>
      <c r="D561" s="43"/>
      <c r="E561" s="43"/>
      <c r="F561" s="43"/>
    </row>
    <row r="562" spans="1:6" ht="15.75" customHeight="1" x14ac:dyDescent="0.25">
      <c r="B562" s="43"/>
      <c r="C562" s="43"/>
      <c r="D562" s="43"/>
      <c r="E562" s="43"/>
      <c r="F562" s="43"/>
    </row>
    <row r="563" spans="1:6" ht="15.75" customHeight="1" x14ac:dyDescent="0.25">
      <c r="B563" s="43"/>
      <c r="C563" s="43"/>
      <c r="D563" s="43"/>
      <c r="E563" s="43"/>
      <c r="F563" s="43"/>
    </row>
    <row r="564" spans="1:6" ht="15.75" customHeight="1" x14ac:dyDescent="0.25">
      <c r="B564" s="43"/>
      <c r="C564" s="43"/>
      <c r="D564" s="43"/>
      <c r="E564" s="43"/>
      <c r="F564" s="43"/>
    </row>
    <row r="565" spans="1:6" ht="15.75" customHeight="1" x14ac:dyDescent="0.25">
      <c r="A565" s="12"/>
      <c r="B565" s="43"/>
      <c r="C565" s="43"/>
      <c r="D565" s="43"/>
      <c r="E565" s="43"/>
      <c r="F565" s="43"/>
    </row>
    <row r="566" spans="1:6" ht="15.75" customHeight="1" x14ac:dyDescent="0.25">
      <c r="B566" s="43"/>
      <c r="C566" s="43"/>
      <c r="D566" s="43"/>
      <c r="E566" s="43"/>
      <c r="F566" s="43"/>
    </row>
    <row r="567" spans="1:6" ht="15.75" customHeight="1" x14ac:dyDescent="0.25">
      <c r="A567" s="12"/>
      <c r="B567" s="43"/>
      <c r="C567" s="43"/>
      <c r="D567" s="43"/>
      <c r="E567" s="43"/>
      <c r="F567" s="43"/>
    </row>
    <row r="568" spans="1:6" ht="15.75" customHeight="1" x14ac:dyDescent="0.25">
      <c r="A568" s="12"/>
      <c r="B568" s="43"/>
      <c r="C568" s="43"/>
      <c r="D568" s="43"/>
      <c r="E568" s="43"/>
      <c r="F568" s="43"/>
    </row>
    <row r="569" spans="1:6" ht="15.75" customHeight="1" x14ac:dyDescent="0.25">
      <c r="A569" s="12"/>
      <c r="B569" s="43"/>
      <c r="C569" s="43"/>
      <c r="D569" s="43"/>
      <c r="E569" s="43"/>
      <c r="F569" s="43"/>
    </row>
    <row r="570" spans="1:6" ht="15.75" customHeight="1" x14ac:dyDescent="0.25">
      <c r="A570" s="12"/>
      <c r="B570" s="43"/>
      <c r="C570" s="43"/>
      <c r="D570" s="43"/>
      <c r="E570" s="43"/>
      <c r="F570" s="43"/>
    </row>
    <row r="571" spans="1:6" ht="15.75" customHeight="1" x14ac:dyDescent="0.25">
      <c r="A571" s="12"/>
      <c r="B571" s="43"/>
      <c r="C571" s="43"/>
      <c r="D571" s="43"/>
      <c r="E571" s="43"/>
      <c r="F571" s="43"/>
    </row>
    <row r="572" spans="1:6" ht="15.75" customHeight="1" x14ac:dyDescent="0.25">
      <c r="B572" s="43"/>
      <c r="C572" s="43"/>
      <c r="D572" s="43"/>
      <c r="E572" s="43"/>
      <c r="F572" s="43"/>
    </row>
    <row r="573" spans="1:6" ht="15.75" customHeight="1" x14ac:dyDescent="0.25">
      <c r="B573" s="43"/>
      <c r="C573" s="43"/>
      <c r="D573" s="43"/>
      <c r="E573" s="43"/>
      <c r="F573" s="43"/>
    </row>
    <row r="574" spans="1:6" ht="15.75" customHeight="1" x14ac:dyDescent="0.25">
      <c r="B574" s="43"/>
      <c r="C574" s="43"/>
      <c r="D574" s="43"/>
      <c r="E574" s="43"/>
      <c r="F574" s="43"/>
    </row>
    <row r="575" spans="1:6" ht="15.75" customHeight="1" x14ac:dyDescent="0.25">
      <c r="B575" s="43"/>
      <c r="C575" s="43"/>
      <c r="D575" s="43"/>
      <c r="E575" s="43"/>
      <c r="F575" s="43"/>
    </row>
    <row r="576" spans="1:6" ht="15.75" customHeight="1" x14ac:dyDescent="0.25">
      <c r="B576" s="43"/>
      <c r="C576" s="43"/>
      <c r="D576" s="43"/>
      <c r="E576" s="43"/>
      <c r="F576" s="43"/>
    </row>
    <row r="577" spans="1:6" ht="15.75" customHeight="1" x14ac:dyDescent="0.25">
      <c r="A577" s="12"/>
      <c r="B577" s="43"/>
      <c r="C577" s="43"/>
      <c r="D577" s="43"/>
      <c r="E577" s="43"/>
      <c r="F577" s="43"/>
    </row>
    <row r="578" spans="1:6" ht="15.75" customHeight="1" x14ac:dyDescent="0.25">
      <c r="B578" s="43"/>
      <c r="C578" s="43"/>
      <c r="D578" s="43"/>
      <c r="E578" s="43"/>
      <c r="F578" s="43"/>
    </row>
    <row r="579" spans="1:6" ht="15.75" customHeight="1" x14ac:dyDescent="0.25">
      <c r="A579" s="12"/>
      <c r="B579" s="43"/>
      <c r="C579" s="43"/>
      <c r="D579" s="43"/>
      <c r="E579" s="43"/>
      <c r="F579" s="43"/>
    </row>
    <row r="580" spans="1:6" ht="15.75" customHeight="1" x14ac:dyDescent="0.25">
      <c r="A580" s="12"/>
      <c r="B580" s="43"/>
      <c r="C580" s="43"/>
      <c r="D580" s="43"/>
      <c r="E580" s="43"/>
      <c r="F580" s="43"/>
    </row>
    <row r="581" spans="1:6" ht="15.75" customHeight="1" x14ac:dyDescent="0.25">
      <c r="A581" s="12"/>
      <c r="B581" s="43"/>
      <c r="C581" s="43"/>
      <c r="D581" s="43"/>
      <c r="E581" s="43"/>
      <c r="F581" s="43"/>
    </row>
    <row r="582" spans="1:6" ht="15.75" customHeight="1" x14ac:dyDescent="0.25">
      <c r="A582" s="12"/>
      <c r="B582" s="43"/>
      <c r="C582" s="43"/>
      <c r="D582" s="43"/>
      <c r="E582" s="43"/>
      <c r="F582" s="43"/>
    </row>
    <row r="583" spans="1:6" ht="15.75" customHeight="1" x14ac:dyDescent="0.25">
      <c r="B583" s="43"/>
      <c r="C583" s="43"/>
      <c r="D583" s="43"/>
      <c r="E583" s="43"/>
      <c r="F583" s="43"/>
    </row>
    <row r="584" spans="1:6" ht="15.75" customHeight="1" x14ac:dyDescent="0.25">
      <c r="B584" s="43"/>
      <c r="C584" s="43"/>
      <c r="D584" s="43"/>
      <c r="E584" s="43"/>
      <c r="F584" s="43"/>
    </row>
    <row r="585" spans="1:6" ht="15.75" customHeight="1" x14ac:dyDescent="0.25">
      <c r="B585" s="43"/>
      <c r="C585" s="43"/>
      <c r="D585" s="43"/>
      <c r="E585" s="43"/>
      <c r="F585" s="43"/>
    </row>
    <row r="586" spans="1:6" ht="15.75" customHeight="1" x14ac:dyDescent="0.25">
      <c r="B586" s="43"/>
      <c r="C586" s="43"/>
      <c r="D586" s="43"/>
      <c r="E586" s="43"/>
      <c r="F586" s="43"/>
    </row>
    <row r="587" spans="1:6" ht="15.75" customHeight="1" x14ac:dyDescent="0.25">
      <c r="B587" s="43"/>
      <c r="C587" s="43"/>
      <c r="D587" s="43"/>
      <c r="E587" s="43"/>
      <c r="F587" s="43"/>
    </row>
    <row r="588" spans="1:6" ht="15.75" customHeight="1" x14ac:dyDescent="0.25">
      <c r="B588" s="43"/>
      <c r="C588" s="43"/>
      <c r="D588" s="43"/>
      <c r="E588" s="43"/>
      <c r="F588" s="43"/>
    </row>
    <row r="589" spans="1:6" ht="15.75" customHeight="1" x14ac:dyDescent="0.25">
      <c r="A589" s="12"/>
      <c r="B589" s="43"/>
      <c r="C589" s="43"/>
      <c r="D589" s="43"/>
      <c r="E589" s="43"/>
      <c r="F589" s="43"/>
    </row>
    <row r="590" spans="1:6" ht="15.75" customHeight="1" x14ac:dyDescent="0.25">
      <c r="B590" s="43"/>
      <c r="C590" s="43"/>
      <c r="D590" s="43"/>
      <c r="E590" s="43"/>
      <c r="F590" s="43"/>
    </row>
    <row r="591" spans="1:6" ht="15.75" customHeight="1" x14ac:dyDescent="0.25">
      <c r="A591" s="12"/>
      <c r="B591" s="43"/>
      <c r="C591" s="43"/>
      <c r="D591" s="43"/>
      <c r="E591" s="43"/>
      <c r="F591" s="43"/>
    </row>
    <row r="592" spans="1:6" ht="15.75" customHeight="1" x14ac:dyDescent="0.25">
      <c r="A592" s="12"/>
      <c r="B592" s="43"/>
      <c r="C592" s="43"/>
      <c r="D592" s="43"/>
      <c r="E592" s="43"/>
      <c r="F592" s="43"/>
    </row>
    <row r="593" spans="1:6" ht="15.75" customHeight="1" x14ac:dyDescent="0.25">
      <c r="A593" s="12"/>
      <c r="B593" s="43"/>
      <c r="C593" s="43"/>
      <c r="D593" s="43"/>
      <c r="E593" s="43"/>
      <c r="F593" s="43"/>
    </row>
    <row r="594" spans="1:6" ht="15.75" customHeight="1" x14ac:dyDescent="0.25">
      <c r="A594" s="12"/>
      <c r="B594" s="43"/>
      <c r="C594" s="43"/>
      <c r="D594" s="43"/>
      <c r="E594" s="43"/>
      <c r="F594" s="43"/>
    </row>
    <row r="595" spans="1:6" ht="15.75" customHeight="1" x14ac:dyDescent="0.25">
      <c r="A595" s="12"/>
      <c r="B595" s="43"/>
      <c r="C595" s="43"/>
      <c r="D595" s="43"/>
      <c r="E595" s="43"/>
      <c r="F595" s="43"/>
    </row>
    <row r="596" spans="1:6" ht="15.75" customHeight="1" x14ac:dyDescent="0.25">
      <c r="A596" s="12"/>
      <c r="B596" s="43"/>
      <c r="C596" s="43"/>
      <c r="D596" s="43"/>
      <c r="E596" s="43"/>
      <c r="F596" s="43"/>
    </row>
    <row r="597" spans="1:6" ht="15.75" customHeight="1" x14ac:dyDescent="0.25">
      <c r="B597" s="43"/>
      <c r="C597" s="43"/>
      <c r="D597" s="43"/>
      <c r="E597" s="43"/>
      <c r="F597" s="43"/>
    </row>
    <row r="598" spans="1:6" ht="15.75" customHeight="1" x14ac:dyDescent="0.25">
      <c r="B598" s="43"/>
      <c r="C598" s="43"/>
      <c r="D598" s="43"/>
      <c r="E598" s="43"/>
      <c r="F598" s="43"/>
    </row>
    <row r="599" spans="1:6" ht="15.75" customHeight="1" x14ac:dyDescent="0.25">
      <c r="B599" s="43"/>
      <c r="C599" s="43"/>
      <c r="D599" s="43"/>
      <c r="E599" s="43"/>
      <c r="F599" s="43"/>
    </row>
    <row r="600" spans="1:6" ht="15.75" customHeight="1" x14ac:dyDescent="0.25">
      <c r="B600" s="43"/>
      <c r="C600" s="43"/>
      <c r="D600" s="43"/>
      <c r="E600" s="43"/>
      <c r="F600" s="43"/>
    </row>
    <row r="601" spans="1:6" ht="15.75" customHeight="1" x14ac:dyDescent="0.25">
      <c r="A601" s="12"/>
      <c r="B601" s="43"/>
      <c r="C601" s="43"/>
      <c r="D601" s="43"/>
      <c r="E601" s="43"/>
      <c r="F601" s="43"/>
    </row>
    <row r="602" spans="1:6" ht="15.75" customHeight="1" x14ac:dyDescent="0.25">
      <c r="B602" s="43"/>
      <c r="C602" s="43"/>
      <c r="D602" s="43"/>
      <c r="E602" s="43"/>
      <c r="F602" s="43"/>
    </row>
    <row r="603" spans="1:6" ht="15.75" customHeight="1" x14ac:dyDescent="0.25">
      <c r="A603" s="12"/>
      <c r="B603" s="43"/>
      <c r="C603" s="43"/>
      <c r="D603" s="43"/>
      <c r="E603" s="43"/>
      <c r="F603" s="43"/>
    </row>
    <row r="604" spans="1:6" ht="15.75" customHeight="1" x14ac:dyDescent="0.25">
      <c r="A604" s="12"/>
      <c r="B604" s="43"/>
      <c r="C604" s="43"/>
      <c r="D604" s="43"/>
      <c r="E604" s="43"/>
      <c r="F604" s="43"/>
    </row>
    <row r="605" spans="1:6" ht="15.75" customHeight="1" x14ac:dyDescent="0.25">
      <c r="A605" s="12"/>
      <c r="B605" s="43"/>
      <c r="C605" s="43"/>
      <c r="D605" s="43"/>
      <c r="E605" s="43"/>
      <c r="F605" s="43"/>
    </row>
    <row r="606" spans="1:6" ht="15.75" customHeight="1" x14ac:dyDescent="0.25">
      <c r="A606" s="12"/>
      <c r="B606" s="43"/>
      <c r="C606" s="43"/>
      <c r="D606" s="43"/>
      <c r="E606" s="43"/>
      <c r="F606" s="43"/>
    </row>
    <row r="607" spans="1:6" ht="15.75" customHeight="1" x14ac:dyDescent="0.25">
      <c r="A607" s="12"/>
      <c r="B607" s="43"/>
      <c r="C607" s="43"/>
      <c r="D607" s="43"/>
      <c r="E607" s="43"/>
      <c r="F607" s="43"/>
    </row>
    <row r="608" spans="1:6" ht="15.75" customHeight="1" x14ac:dyDescent="0.25">
      <c r="A608" s="12"/>
      <c r="B608" s="43"/>
      <c r="C608" s="43"/>
      <c r="D608" s="43"/>
      <c r="E608" s="43"/>
      <c r="F608" s="43"/>
    </row>
    <row r="609" spans="1:6" ht="15.75" customHeight="1" x14ac:dyDescent="0.25">
      <c r="A609" s="12"/>
      <c r="B609" s="43"/>
      <c r="C609" s="43"/>
      <c r="D609" s="43"/>
      <c r="E609" s="43"/>
      <c r="F609" s="43"/>
    </row>
    <row r="610" spans="1:6" ht="15.75" customHeight="1" x14ac:dyDescent="0.25">
      <c r="B610" s="43"/>
      <c r="C610" s="43"/>
      <c r="D610" s="43"/>
      <c r="E610" s="43"/>
      <c r="F610" s="43"/>
    </row>
    <row r="611" spans="1:6" ht="15.75" customHeight="1" x14ac:dyDescent="0.25">
      <c r="B611" s="43"/>
      <c r="C611" s="43"/>
      <c r="D611" s="43"/>
      <c r="E611" s="43"/>
      <c r="F611" s="43"/>
    </row>
    <row r="612" spans="1:6" ht="15.75" customHeight="1" x14ac:dyDescent="0.25">
      <c r="B612" s="43"/>
      <c r="C612" s="43"/>
      <c r="D612" s="43"/>
      <c r="E612" s="43"/>
      <c r="F612" s="43"/>
    </row>
    <row r="613" spans="1:6" ht="15.75" customHeight="1" x14ac:dyDescent="0.25">
      <c r="A613" s="12"/>
      <c r="B613" s="43"/>
      <c r="C613" s="43"/>
      <c r="D613" s="43"/>
      <c r="E613" s="43"/>
      <c r="F613" s="43"/>
    </row>
    <row r="614" spans="1:6" ht="15.75" customHeight="1" x14ac:dyDescent="0.25">
      <c r="B614" s="43"/>
      <c r="C614" s="43"/>
      <c r="D614" s="43"/>
      <c r="E614" s="43"/>
      <c r="F614" s="43"/>
    </row>
    <row r="615" spans="1:6" ht="15.75" customHeight="1" x14ac:dyDescent="0.25">
      <c r="A615" s="12"/>
      <c r="B615" s="43"/>
      <c r="C615" s="43"/>
      <c r="D615" s="43"/>
      <c r="E615" s="43"/>
      <c r="F615" s="43"/>
    </row>
    <row r="616" spans="1:6" ht="15.75" customHeight="1" x14ac:dyDescent="0.25">
      <c r="A616" s="12"/>
      <c r="B616" s="43"/>
      <c r="C616" s="43"/>
      <c r="D616" s="43"/>
      <c r="E616" s="43"/>
      <c r="F616" s="43"/>
    </row>
    <row r="617" spans="1:6" ht="15.75" customHeight="1" x14ac:dyDescent="0.25">
      <c r="A617" s="12"/>
      <c r="B617" s="43"/>
      <c r="C617" s="43"/>
      <c r="D617" s="43"/>
      <c r="E617" s="43"/>
      <c r="F617" s="43"/>
    </row>
    <row r="618" spans="1:6" ht="15.75" customHeight="1" x14ac:dyDescent="0.25">
      <c r="A618" s="12"/>
      <c r="B618" s="43"/>
      <c r="C618" s="43"/>
      <c r="D618" s="43"/>
      <c r="E618" s="43"/>
      <c r="F618" s="43"/>
    </row>
    <row r="619" spans="1:6" ht="15.75" customHeight="1" x14ac:dyDescent="0.25">
      <c r="A619" s="12"/>
      <c r="B619" s="43"/>
      <c r="C619" s="43"/>
      <c r="D619" s="43"/>
      <c r="E619" s="43"/>
      <c r="F619" s="43"/>
    </row>
    <row r="620" spans="1:6" ht="15.75" customHeight="1" x14ac:dyDescent="0.25">
      <c r="A620" s="12"/>
      <c r="B620" s="43"/>
      <c r="C620" s="43"/>
      <c r="D620" s="43"/>
      <c r="E620" s="43"/>
      <c r="F620" s="43"/>
    </row>
    <row r="621" spans="1:6" ht="15.75" customHeight="1" x14ac:dyDescent="0.25">
      <c r="B621" s="43"/>
      <c r="C621" s="43"/>
      <c r="D621" s="43"/>
      <c r="E621" s="43"/>
      <c r="F621" s="43"/>
    </row>
    <row r="622" spans="1:6" ht="15.75" customHeight="1" x14ac:dyDescent="0.25">
      <c r="B622" s="43"/>
      <c r="C622" s="43"/>
      <c r="D622" s="43"/>
      <c r="E622" s="43"/>
      <c r="F622" s="43"/>
    </row>
    <row r="623" spans="1:6" ht="15.75" customHeight="1" x14ac:dyDescent="0.25">
      <c r="B623" s="43"/>
      <c r="C623" s="43"/>
      <c r="D623" s="43"/>
      <c r="E623" s="43"/>
      <c r="F623" s="43"/>
    </row>
    <row r="624" spans="1:6" ht="15.75" customHeight="1" x14ac:dyDescent="0.25">
      <c r="B624" s="43"/>
      <c r="C624" s="43"/>
      <c r="D624" s="43"/>
      <c r="E624" s="43"/>
      <c r="F624" s="43"/>
    </row>
    <row r="625" spans="1:6" ht="15.75" customHeight="1" x14ac:dyDescent="0.25">
      <c r="A625" s="12"/>
      <c r="B625" s="43"/>
      <c r="C625" s="43"/>
      <c r="D625" s="43"/>
      <c r="E625" s="43"/>
      <c r="F625" s="43"/>
    </row>
    <row r="626" spans="1:6" ht="15.75" customHeight="1" x14ac:dyDescent="0.25">
      <c r="B626" s="43"/>
      <c r="C626" s="43"/>
      <c r="D626" s="43"/>
      <c r="E626" s="43"/>
      <c r="F626" s="43"/>
    </row>
    <row r="627" spans="1:6" ht="15.75" customHeight="1" x14ac:dyDescent="0.25">
      <c r="A627" s="12"/>
      <c r="B627" s="43"/>
      <c r="C627" s="43"/>
      <c r="D627" s="43"/>
      <c r="E627" s="43"/>
      <c r="F627" s="43"/>
    </row>
    <row r="628" spans="1:6" ht="15.75" customHeight="1" x14ac:dyDescent="0.25">
      <c r="A628" s="12"/>
      <c r="B628" s="43"/>
      <c r="C628" s="43"/>
      <c r="D628" s="43"/>
      <c r="E628" s="43"/>
      <c r="F628" s="43"/>
    </row>
    <row r="629" spans="1:6" ht="15.75" customHeight="1" x14ac:dyDescent="0.25">
      <c r="A629" s="12"/>
      <c r="B629" s="43"/>
      <c r="C629" s="43"/>
      <c r="D629" s="43"/>
      <c r="E629" s="43"/>
      <c r="F629" s="43"/>
    </row>
    <row r="630" spans="1:6" ht="15.75" customHeight="1" x14ac:dyDescent="0.25">
      <c r="A630" s="12"/>
      <c r="B630" s="43"/>
      <c r="C630" s="43"/>
      <c r="D630" s="43"/>
      <c r="E630" s="43"/>
      <c r="F630" s="43"/>
    </row>
    <row r="631" spans="1:6" ht="15.75" customHeight="1" x14ac:dyDescent="0.25">
      <c r="A631" s="12"/>
      <c r="B631" s="43"/>
      <c r="C631" s="43"/>
      <c r="D631" s="43"/>
      <c r="E631" s="43"/>
      <c r="F631" s="43"/>
    </row>
    <row r="632" spans="1:6" ht="15.75" customHeight="1" x14ac:dyDescent="0.25">
      <c r="B632" s="43"/>
      <c r="C632" s="43"/>
      <c r="D632" s="43"/>
      <c r="E632" s="43"/>
      <c r="F632" s="43"/>
    </row>
    <row r="633" spans="1:6" ht="15.75" customHeight="1" x14ac:dyDescent="0.25">
      <c r="B633" s="43"/>
      <c r="C633" s="43"/>
      <c r="D633" s="43"/>
      <c r="E633" s="43"/>
      <c r="F633" s="43"/>
    </row>
    <row r="634" spans="1:6" ht="15.75" customHeight="1" x14ac:dyDescent="0.25">
      <c r="B634" s="43"/>
      <c r="C634" s="43"/>
      <c r="D634" s="43"/>
      <c r="E634" s="43"/>
      <c r="F634" s="43"/>
    </row>
    <row r="635" spans="1:6" ht="15.75" customHeight="1" x14ac:dyDescent="0.25">
      <c r="B635" s="43"/>
      <c r="C635" s="43"/>
      <c r="D635" s="43"/>
      <c r="E635" s="43"/>
      <c r="F635" s="43"/>
    </row>
    <row r="636" spans="1:6" ht="15.75" customHeight="1" x14ac:dyDescent="0.25">
      <c r="B636" s="43"/>
      <c r="C636" s="43"/>
      <c r="D636" s="43"/>
      <c r="E636" s="43"/>
      <c r="F636" s="43"/>
    </row>
    <row r="637" spans="1:6" ht="15.75" customHeight="1" x14ac:dyDescent="0.25">
      <c r="A637" s="12"/>
      <c r="B637" s="43"/>
      <c r="C637" s="43"/>
      <c r="D637" s="43"/>
      <c r="E637" s="43"/>
      <c r="F637" s="43"/>
    </row>
    <row r="638" spans="1:6" ht="15.75" customHeight="1" x14ac:dyDescent="0.25">
      <c r="B638" s="43"/>
      <c r="C638" s="43"/>
      <c r="D638" s="43"/>
      <c r="E638" s="43"/>
      <c r="F638" s="43"/>
    </row>
    <row r="639" spans="1:6" ht="15.75" customHeight="1" x14ac:dyDescent="0.25">
      <c r="A639" s="12"/>
      <c r="B639" s="43"/>
      <c r="C639" s="43"/>
      <c r="D639" s="43"/>
      <c r="E639" s="43"/>
      <c r="F639" s="43"/>
    </row>
    <row r="640" spans="1:6" ht="15.75" customHeight="1" x14ac:dyDescent="0.25">
      <c r="A640" s="12"/>
      <c r="B640" s="43"/>
      <c r="C640" s="43"/>
      <c r="D640" s="43"/>
      <c r="E640" s="43"/>
      <c r="F640" s="43"/>
    </row>
    <row r="641" spans="1:6" ht="15.75" customHeight="1" x14ac:dyDescent="0.25">
      <c r="A641" s="12"/>
      <c r="B641" s="43"/>
      <c r="C641" s="43"/>
      <c r="D641" s="43"/>
      <c r="E641" s="43"/>
      <c r="F641" s="43"/>
    </row>
    <row r="642" spans="1:6" ht="15.75" customHeight="1" x14ac:dyDescent="0.25">
      <c r="A642" s="12"/>
      <c r="B642" s="43"/>
      <c r="C642" s="43"/>
      <c r="D642" s="43"/>
      <c r="E642" s="43"/>
      <c r="F642" s="43"/>
    </row>
    <row r="643" spans="1:6" ht="15.75" customHeight="1" x14ac:dyDescent="0.25">
      <c r="A643" s="12"/>
      <c r="B643" s="43"/>
      <c r="C643" s="43"/>
      <c r="D643" s="43"/>
      <c r="E643" s="43"/>
      <c r="F643" s="43"/>
    </row>
    <row r="644" spans="1:6" ht="15.75" customHeight="1" x14ac:dyDescent="0.25">
      <c r="A644" s="12"/>
      <c r="B644" s="43"/>
      <c r="C644" s="43"/>
      <c r="D644" s="43"/>
      <c r="E644" s="43"/>
      <c r="F644" s="43"/>
    </row>
    <row r="645" spans="1:6" ht="15.75" customHeight="1" x14ac:dyDescent="0.25">
      <c r="B645" s="43"/>
      <c r="C645" s="43"/>
      <c r="D645" s="43"/>
      <c r="E645" s="43"/>
      <c r="F645" s="43"/>
    </row>
    <row r="646" spans="1:6" ht="15.75" customHeight="1" x14ac:dyDescent="0.25">
      <c r="B646" s="43"/>
      <c r="C646" s="43"/>
      <c r="D646" s="43"/>
      <c r="E646" s="43"/>
      <c r="F646" s="43"/>
    </row>
    <row r="647" spans="1:6" ht="15.75" customHeight="1" x14ac:dyDescent="0.25">
      <c r="B647" s="43"/>
      <c r="C647" s="43"/>
      <c r="D647" s="43"/>
      <c r="E647" s="43"/>
      <c r="F647" s="43"/>
    </row>
    <row r="648" spans="1:6" ht="15.75" customHeight="1" x14ac:dyDescent="0.25">
      <c r="B648" s="43"/>
      <c r="C648" s="43"/>
      <c r="D648" s="43"/>
      <c r="E648" s="43"/>
      <c r="F648" s="43"/>
    </row>
    <row r="649" spans="1:6" ht="15.75" customHeight="1" x14ac:dyDescent="0.25">
      <c r="A649" s="12"/>
      <c r="B649" s="43"/>
      <c r="C649" s="43"/>
      <c r="D649" s="43"/>
      <c r="E649" s="43"/>
      <c r="F649" s="43"/>
    </row>
    <row r="650" spans="1:6" ht="15.75" customHeight="1" x14ac:dyDescent="0.25">
      <c r="B650" s="43"/>
      <c r="C650" s="43"/>
      <c r="D650" s="43"/>
      <c r="E650" s="43"/>
      <c r="F650" s="43"/>
    </row>
    <row r="651" spans="1:6" ht="15.75" customHeight="1" x14ac:dyDescent="0.25">
      <c r="A651" s="12"/>
      <c r="B651" s="43"/>
      <c r="C651" s="43"/>
      <c r="D651" s="43"/>
      <c r="E651" s="43"/>
      <c r="F651" s="43"/>
    </row>
    <row r="652" spans="1:6" ht="15.75" customHeight="1" x14ac:dyDescent="0.25">
      <c r="A652" s="12"/>
      <c r="B652" s="43"/>
      <c r="C652" s="43"/>
      <c r="D652" s="43"/>
      <c r="E652" s="43"/>
      <c r="F652" s="43"/>
    </row>
    <row r="653" spans="1:6" ht="15.75" customHeight="1" x14ac:dyDescent="0.25">
      <c r="A653" s="12"/>
      <c r="B653" s="43"/>
      <c r="C653" s="43"/>
      <c r="D653" s="43"/>
      <c r="E653" s="43"/>
      <c r="F653" s="43"/>
    </row>
    <row r="654" spans="1:6" ht="15.75" customHeight="1" x14ac:dyDescent="0.25">
      <c r="A654" s="12"/>
      <c r="B654" s="43"/>
      <c r="C654" s="43"/>
      <c r="D654" s="43"/>
      <c r="E654" s="43"/>
      <c r="F654" s="43"/>
    </row>
    <row r="655" spans="1:6" ht="15.75" customHeight="1" x14ac:dyDescent="0.25">
      <c r="A655" s="12"/>
      <c r="B655" s="43"/>
      <c r="C655" s="43"/>
      <c r="D655" s="43"/>
      <c r="E655" s="43"/>
      <c r="F655" s="43"/>
    </row>
    <row r="656" spans="1:6" ht="15.75" customHeight="1" x14ac:dyDescent="0.25">
      <c r="B656" s="43"/>
      <c r="C656" s="43"/>
      <c r="D656" s="43"/>
      <c r="E656" s="43"/>
      <c r="F656" s="43"/>
    </row>
    <row r="657" spans="1:6" ht="15.75" customHeight="1" x14ac:dyDescent="0.25">
      <c r="B657" s="43"/>
      <c r="C657" s="43"/>
      <c r="D657" s="43"/>
      <c r="E657" s="43"/>
      <c r="F657" s="43"/>
    </row>
    <row r="658" spans="1:6" ht="15.75" customHeight="1" x14ac:dyDescent="0.25">
      <c r="B658" s="43"/>
      <c r="C658" s="43"/>
      <c r="D658" s="43"/>
      <c r="E658" s="43"/>
      <c r="F658" s="43"/>
    </row>
    <row r="659" spans="1:6" ht="15.75" customHeight="1" x14ac:dyDescent="0.25">
      <c r="B659" s="43"/>
      <c r="C659" s="43"/>
      <c r="D659" s="43"/>
      <c r="E659" s="43"/>
      <c r="F659" s="43"/>
    </row>
    <row r="660" spans="1:6" ht="15.75" customHeight="1" x14ac:dyDescent="0.25">
      <c r="B660" s="43"/>
      <c r="C660" s="43"/>
      <c r="D660" s="43"/>
      <c r="E660" s="43"/>
      <c r="F660" s="43"/>
    </row>
    <row r="661" spans="1:6" ht="15.75" customHeight="1" x14ac:dyDescent="0.25">
      <c r="A661" s="12"/>
      <c r="B661" s="43"/>
      <c r="C661" s="43"/>
      <c r="D661" s="43"/>
      <c r="E661" s="43"/>
      <c r="F661" s="43"/>
    </row>
    <row r="662" spans="1:6" ht="15.75" customHeight="1" x14ac:dyDescent="0.25">
      <c r="B662" s="43"/>
      <c r="C662" s="43"/>
      <c r="D662" s="43"/>
      <c r="E662" s="43"/>
      <c r="F662" s="43"/>
    </row>
    <row r="663" spans="1:6" ht="15.75" customHeight="1" x14ac:dyDescent="0.25">
      <c r="A663" s="12"/>
      <c r="B663" s="43"/>
      <c r="C663" s="43"/>
      <c r="D663" s="43"/>
      <c r="E663" s="43"/>
      <c r="F663" s="43"/>
    </row>
    <row r="664" spans="1:6" ht="15.75" customHeight="1" x14ac:dyDescent="0.25">
      <c r="A664" s="12"/>
      <c r="B664" s="43"/>
      <c r="C664" s="43"/>
      <c r="D664" s="43"/>
      <c r="E664" s="43"/>
      <c r="F664" s="43"/>
    </row>
    <row r="665" spans="1:6" ht="15.75" customHeight="1" x14ac:dyDescent="0.25">
      <c r="A665" s="12"/>
      <c r="B665" s="43"/>
      <c r="C665" s="43"/>
      <c r="D665" s="43"/>
      <c r="E665" s="43"/>
      <c r="F665" s="43"/>
    </row>
    <row r="666" spans="1:6" ht="15.75" customHeight="1" x14ac:dyDescent="0.25">
      <c r="A666" s="12"/>
      <c r="B666" s="43"/>
      <c r="C666" s="43"/>
      <c r="D666" s="43"/>
      <c r="E666" s="43"/>
      <c r="F666" s="43"/>
    </row>
    <row r="667" spans="1:6" ht="15.75" customHeight="1" x14ac:dyDescent="0.25">
      <c r="A667" s="12"/>
      <c r="B667" s="43"/>
      <c r="C667" s="43"/>
      <c r="D667" s="43"/>
      <c r="E667" s="43"/>
      <c r="F667" s="43"/>
    </row>
    <row r="668" spans="1:6" ht="15.75" customHeight="1" x14ac:dyDescent="0.25">
      <c r="A668" s="12"/>
      <c r="B668" s="43"/>
      <c r="C668" s="43"/>
      <c r="D668" s="43"/>
      <c r="E668" s="43"/>
      <c r="F668" s="43"/>
    </row>
    <row r="669" spans="1:6" ht="15.75" customHeight="1" x14ac:dyDescent="0.25">
      <c r="A669" s="12"/>
      <c r="B669" s="43"/>
      <c r="C669" s="43"/>
      <c r="D669" s="43"/>
      <c r="E669" s="43"/>
      <c r="F669" s="43"/>
    </row>
    <row r="670" spans="1:6" ht="15.75" customHeight="1" x14ac:dyDescent="0.25">
      <c r="A670" s="12"/>
      <c r="B670" s="43"/>
      <c r="C670" s="43"/>
      <c r="D670" s="43"/>
      <c r="E670" s="43"/>
      <c r="F670" s="43"/>
    </row>
    <row r="671" spans="1:6" ht="15.75" customHeight="1" x14ac:dyDescent="0.25">
      <c r="A671" s="12"/>
      <c r="B671" s="43"/>
      <c r="C671" s="43"/>
      <c r="D671" s="43"/>
      <c r="E671" s="43"/>
      <c r="F671" s="43"/>
    </row>
    <row r="672" spans="1:6" ht="15.75" customHeight="1" x14ac:dyDescent="0.25">
      <c r="B672" s="43"/>
      <c r="C672" s="43"/>
      <c r="D672" s="43"/>
      <c r="E672" s="43"/>
      <c r="F672" s="43"/>
    </row>
    <row r="673" spans="1:6" ht="15.75" customHeight="1" x14ac:dyDescent="0.25">
      <c r="A673" s="12"/>
      <c r="B673" s="43"/>
      <c r="C673" s="43"/>
      <c r="D673" s="43"/>
      <c r="E673" s="43"/>
      <c r="F673" s="43"/>
    </row>
    <row r="674" spans="1:6" ht="15.75" customHeight="1" x14ac:dyDescent="0.25">
      <c r="B674" s="43"/>
      <c r="C674" s="43"/>
      <c r="D674" s="43"/>
      <c r="E674" s="43"/>
      <c r="F674" s="43"/>
    </row>
    <row r="675" spans="1:6" ht="15.75" customHeight="1" x14ac:dyDescent="0.25">
      <c r="A675" s="12"/>
      <c r="B675" s="43"/>
      <c r="C675" s="43"/>
      <c r="D675" s="43"/>
      <c r="E675" s="43"/>
      <c r="F675" s="43"/>
    </row>
    <row r="676" spans="1:6" ht="15.75" customHeight="1" x14ac:dyDescent="0.25">
      <c r="A676" s="12"/>
      <c r="B676" s="43"/>
      <c r="C676" s="43"/>
      <c r="D676" s="43"/>
      <c r="E676" s="43"/>
      <c r="F676" s="43"/>
    </row>
    <row r="677" spans="1:6" ht="15.75" customHeight="1" x14ac:dyDescent="0.25">
      <c r="A677" s="12"/>
      <c r="B677" s="43"/>
      <c r="C677" s="43"/>
      <c r="D677" s="43"/>
      <c r="E677" s="43"/>
      <c r="F677" s="43"/>
    </row>
    <row r="678" spans="1:6" ht="15.75" customHeight="1" x14ac:dyDescent="0.25">
      <c r="A678" s="12"/>
      <c r="B678" s="43"/>
      <c r="C678" s="43"/>
      <c r="D678" s="43"/>
      <c r="E678" s="43"/>
      <c r="F678" s="43"/>
    </row>
    <row r="679" spans="1:6" ht="15.75" customHeight="1" x14ac:dyDescent="0.25">
      <c r="A679" s="12"/>
      <c r="B679" s="43"/>
      <c r="C679" s="43"/>
      <c r="D679" s="43"/>
      <c r="E679" s="43"/>
      <c r="F679" s="43"/>
    </row>
    <row r="680" spans="1:6" ht="15.75" customHeight="1" x14ac:dyDescent="0.25">
      <c r="A680" s="12"/>
      <c r="B680" s="43"/>
      <c r="C680" s="43"/>
      <c r="D680" s="43"/>
      <c r="E680" s="43"/>
      <c r="F680" s="43"/>
    </row>
    <row r="681" spans="1:6" ht="15.75" customHeight="1" x14ac:dyDescent="0.25">
      <c r="A681" s="12"/>
      <c r="B681" s="43"/>
      <c r="C681" s="43"/>
      <c r="D681" s="43"/>
      <c r="E681" s="43"/>
      <c r="F681" s="43"/>
    </row>
    <row r="682" spans="1:6" ht="15.75" customHeight="1" x14ac:dyDescent="0.25">
      <c r="A682" s="12"/>
      <c r="B682" s="43"/>
      <c r="C682" s="43"/>
      <c r="D682" s="43"/>
      <c r="E682" s="43"/>
      <c r="F682" s="43"/>
    </row>
    <row r="683" spans="1:6" ht="15.75" customHeight="1" x14ac:dyDescent="0.25">
      <c r="A683" s="12"/>
      <c r="B683" s="43"/>
      <c r="C683" s="43"/>
      <c r="D683" s="43"/>
      <c r="E683" s="43"/>
      <c r="F683" s="43"/>
    </row>
    <row r="684" spans="1:6" ht="15.75" customHeight="1" x14ac:dyDescent="0.25">
      <c r="B684" s="43"/>
      <c r="C684" s="43"/>
      <c r="D684" s="43"/>
      <c r="E684" s="43"/>
      <c r="F684" s="43"/>
    </row>
    <row r="685" spans="1:6" ht="15.75" customHeight="1" x14ac:dyDescent="0.25">
      <c r="A685" s="12"/>
      <c r="B685" s="43"/>
      <c r="C685" s="43"/>
      <c r="D685" s="43"/>
      <c r="E685" s="43"/>
      <c r="F685" s="43"/>
    </row>
    <row r="686" spans="1:6" ht="15.75" customHeight="1" x14ac:dyDescent="0.25">
      <c r="B686" s="43"/>
      <c r="C686" s="43"/>
      <c r="D686" s="43"/>
      <c r="E686" s="43"/>
      <c r="F686" s="43"/>
    </row>
    <row r="687" spans="1:6" ht="15.75" customHeight="1" x14ac:dyDescent="0.25">
      <c r="A687" s="12"/>
      <c r="B687" s="43"/>
      <c r="C687" s="43"/>
      <c r="D687" s="43"/>
      <c r="E687" s="43"/>
      <c r="F687" s="43"/>
    </row>
    <row r="688" spans="1:6" ht="15.75" customHeight="1" x14ac:dyDescent="0.25">
      <c r="A688" s="12"/>
      <c r="B688" s="43"/>
      <c r="C688" s="43"/>
      <c r="D688" s="43"/>
      <c r="E688" s="43"/>
      <c r="F688" s="43"/>
    </row>
    <row r="689" spans="1:6" ht="15.75" customHeight="1" x14ac:dyDescent="0.25">
      <c r="A689" s="12"/>
      <c r="B689" s="43"/>
      <c r="C689" s="43"/>
      <c r="D689" s="43"/>
      <c r="E689" s="43"/>
      <c r="F689" s="43"/>
    </row>
    <row r="690" spans="1:6" ht="15.75" customHeight="1" x14ac:dyDescent="0.25">
      <c r="A690" s="12"/>
      <c r="B690" s="43"/>
      <c r="C690" s="43"/>
      <c r="D690" s="43"/>
      <c r="E690" s="43"/>
      <c r="F690" s="43"/>
    </row>
    <row r="691" spans="1:6" ht="15.75" customHeight="1" x14ac:dyDescent="0.25">
      <c r="A691" s="12"/>
      <c r="B691" s="43"/>
      <c r="C691" s="43"/>
      <c r="D691" s="43"/>
      <c r="E691" s="43"/>
      <c r="F691" s="43"/>
    </row>
    <row r="692" spans="1:6" ht="15.75" customHeight="1" x14ac:dyDescent="0.25">
      <c r="A692" s="12"/>
      <c r="B692" s="43"/>
      <c r="C692" s="43"/>
      <c r="D692" s="43"/>
      <c r="E692" s="43"/>
      <c r="F692" s="43"/>
    </row>
    <row r="693" spans="1:6" ht="15.75" customHeight="1" x14ac:dyDescent="0.25">
      <c r="A693" s="12"/>
      <c r="B693" s="43"/>
      <c r="C693" s="43"/>
      <c r="D693" s="43"/>
      <c r="E693" s="43"/>
      <c r="F693" s="43"/>
    </row>
    <row r="694" spans="1:6" ht="15.75" customHeight="1" x14ac:dyDescent="0.25">
      <c r="A694" s="12"/>
      <c r="B694" s="43"/>
      <c r="C694" s="43"/>
      <c r="D694" s="43"/>
      <c r="E694" s="43"/>
      <c r="F694" s="43"/>
    </row>
    <row r="695" spans="1:6" ht="15.75" customHeight="1" x14ac:dyDescent="0.25">
      <c r="A695" s="12"/>
      <c r="B695" s="43"/>
      <c r="C695" s="43"/>
      <c r="D695" s="43"/>
      <c r="E695" s="43"/>
      <c r="F695" s="43"/>
    </row>
    <row r="696" spans="1:6" ht="15.75" customHeight="1" x14ac:dyDescent="0.25">
      <c r="B696" s="43"/>
      <c r="C696" s="43"/>
      <c r="D696" s="43"/>
      <c r="E696" s="43"/>
      <c r="F696" s="43"/>
    </row>
    <row r="697" spans="1:6" ht="15.75" customHeight="1" x14ac:dyDescent="0.25">
      <c r="A697" s="12"/>
      <c r="B697" s="43"/>
      <c r="C697" s="43"/>
      <c r="D697" s="43"/>
      <c r="E697" s="43"/>
      <c r="F697" s="43"/>
    </row>
    <row r="698" spans="1:6" ht="15.75" customHeight="1" x14ac:dyDescent="0.25">
      <c r="B698" s="43"/>
      <c r="C698" s="43"/>
      <c r="D698" s="43"/>
      <c r="E698" s="43"/>
      <c r="F698" s="43"/>
    </row>
    <row r="699" spans="1:6" ht="15.75" customHeight="1" x14ac:dyDescent="0.25">
      <c r="A699" s="12"/>
      <c r="B699" s="43"/>
      <c r="C699" s="43"/>
      <c r="D699" s="43"/>
      <c r="E699" s="43"/>
      <c r="F699" s="43"/>
    </row>
    <row r="700" spans="1:6" ht="15.75" customHeight="1" x14ac:dyDescent="0.25">
      <c r="A700" s="12"/>
      <c r="B700" s="43"/>
      <c r="C700" s="43"/>
      <c r="D700" s="43"/>
      <c r="E700" s="43"/>
      <c r="F700" s="43"/>
    </row>
    <row r="701" spans="1:6" ht="15.75" customHeight="1" x14ac:dyDescent="0.25">
      <c r="A701" s="12"/>
      <c r="B701" s="43"/>
      <c r="C701" s="43"/>
      <c r="D701" s="43"/>
      <c r="E701" s="43"/>
      <c r="F701" s="43"/>
    </row>
    <row r="702" spans="1:6" ht="15.75" customHeight="1" x14ac:dyDescent="0.25">
      <c r="A702" s="12"/>
      <c r="B702" s="43"/>
      <c r="C702" s="43"/>
      <c r="D702" s="43"/>
      <c r="E702" s="43"/>
      <c r="F702" s="43"/>
    </row>
    <row r="703" spans="1:6" ht="15.75" customHeight="1" x14ac:dyDescent="0.25">
      <c r="A703" s="12"/>
      <c r="B703" s="43"/>
      <c r="C703" s="43"/>
      <c r="D703" s="43"/>
      <c r="E703" s="43"/>
      <c r="F703" s="43"/>
    </row>
    <row r="704" spans="1:6" ht="15.75" customHeight="1" x14ac:dyDescent="0.25">
      <c r="A704" s="12"/>
      <c r="B704" s="43"/>
      <c r="C704" s="43"/>
      <c r="D704" s="43"/>
      <c r="E704" s="43"/>
      <c r="F704" s="43"/>
    </row>
    <row r="705" spans="1:6" ht="15.75" customHeight="1" x14ac:dyDescent="0.25">
      <c r="A705" s="12"/>
      <c r="B705" s="43"/>
      <c r="C705" s="43"/>
      <c r="D705" s="43"/>
      <c r="E705" s="43"/>
      <c r="F705" s="43"/>
    </row>
    <row r="706" spans="1:6" ht="15.75" customHeight="1" x14ac:dyDescent="0.25">
      <c r="A706" s="12"/>
      <c r="B706" s="43"/>
      <c r="C706" s="43"/>
      <c r="D706" s="43"/>
      <c r="E706" s="43"/>
      <c r="F706" s="43"/>
    </row>
    <row r="707" spans="1:6" ht="15.75" customHeight="1" x14ac:dyDescent="0.25">
      <c r="A707" s="12"/>
      <c r="B707" s="43"/>
      <c r="C707" s="43"/>
      <c r="D707" s="43"/>
      <c r="E707" s="43"/>
      <c r="F707" s="43"/>
    </row>
    <row r="708" spans="1:6" ht="15.75" customHeight="1" x14ac:dyDescent="0.25">
      <c r="B708" s="43"/>
      <c r="C708" s="43"/>
      <c r="D708" s="43"/>
      <c r="E708" s="43"/>
      <c r="F708" s="43"/>
    </row>
    <row r="709" spans="1:6" ht="15.75" customHeight="1" x14ac:dyDescent="0.25">
      <c r="A709" s="12"/>
      <c r="B709" s="43"/>
      <c r="C709" s="43"/>
      <c r="D709" s="43"/>
      <c r="E709" s="43"/>
      <c r="F709" s="43"/>
    </row>
    <row r="710" spans="1:6" ht="15.75" customHeight="1" x14ac:dyDescent="0.25">
      <c r="B710" s="43"/>
      <c r="C710" s="43"/>
      <c r="D710" s="43"/>
      <c r="E710" s="43"/>
      <c r="F710" s="43"/>
    </row>
    <row r="711" spans="1:6" ht="15.75" customHeight="1" x14ac:dyDescent="0.25">
      <c r="A711" s="12"/>
      <c r="B711" s="43"/>
      <c r="C711" s="43"/>
      <c r="D711" s="43"/>
      <c r="E711" s="43"/>
      <c r="F711" s="43"/>
    </row>
    <row r="712" spans="1:6" ht="15.75" customHeight="1" x14ac:dyDescent="0.25">
      <c r="A712" s="12"/>
      <c r="B712" s="43"/>
      <c r="C712" s="43"/>
      <c r="D712" s="43"/>
      <c r="E712" s="43"/>
      <c r="F712" s="43"/>
    </row>
    <row r="713" spans="1:6" ht="15.75" customHeight="1" x14ac:dyDescent="0.25">
      <c r="A713" s="12"/>
      <c r="B713" s="43"/>
      <c r="C713" s="43"/>
      <c r="D713" s="43"/>
      <c r="E713" s="43"/>
      <c r="F713" s="43"/>
    </row>
    <row r="714" spans="1:6" ht="15.75" customHeight="1" x14ac:dyDescent="0.25">
      <c r="A714" s="12"/>
      <c r="B714" s="43"/>
      <c r="C714" s="43"/>
      <c r="D714" s="43"/>
      <c r="E714" s="43"/>
      <c r="F714" s="43"/>
    </row>
    <row r="715" spans="1:6" ht="15.75" customHeight="1" x14ac:dyDescent="0.25">
      <c r="A715" s="12"/>
      <c r="B715" s="43"/>
      <c r="C715" s="43"/>
      <c r="D715" s="43"/>
      <c r="E715" s="43"/>
      <c r="F715" s="43"/>
    </row>
    <row r="716" spans="1:6" ht="15.75" customHeight="1" x14ac:dyDescent="0.25">
      <c r="A716" s="12"/>
      <c r="B716" s="43"/>
      <c r="C716" s="43"/>
      <c r="D716" s="43"/>
      <c r="E716" s="43"/>
      <c r="F716" s="43"/>
    </row>
    <row r="717" spans="1:6" ht="15.75" customHeight="1" x14ac:dyDescent="0.25">
      <c r="A717" s="12"/>
      <c r="B717" s="43"/>
      <c r="C717" s="43"/>
      <c r="D717" s="43"/>
      <c r="E717" s="43"/>
      <c r="F717" s="43"/>
    </row>
    <row r="718" spans="1:6" ht="15.75" customHeight="1" x14ac:dyDescent="0.25">
      <c r="A718" s="12"/>
      <c r="B718" s="43"/>
      <c r="C718" s="43"/>
      <c r="D718" s="43"/>
      <c r="E718" s="43"/>
      <c r="F718" s="43"/>
    </row>
    <row r="719" spans="1:6" ht="15.75" customHeight="1" x14ac:dyDescent="0.25">
      <c r="A719" s="12"/>
      <c r="B719" s="43"/>
      <c r="C719" s="43"/>
      <c r="D719" s="43"/>
      <c r="E719" s="43"/>
      <c r="F719" s="43"/>
    </row>
    <row r="720" spans="1:6" ht="15.75" customHeight="1" x14ac:dyDescent="0.25">
      <c r="B720" s="43"/>
      <c r="C720" s="43"/>
      <c r="D720" s="43"/>
      <c r="E720" s="43"/>
      <c r="F720" s="43"/>
    </row>
    <row r="721" spans="1:6" ht="15.75" customHeight="1" x14ac:dyDescent="0.25">
      <c r="A721" s="12"/>
      <c r="B721" s="43"/>
      <c r="C721" s="43"/>
      <c r="D721" s="43"/>
      <c r="E721" s="43"/>
      <c r="F721" s="43"/>
    </row>
    <row r="722" spans="1:6" ht="15.75" customHeight="1" x14ac:dyDescent="0.25">
      <c r="B722" s="43"/>
      <c r="C722" s="43"/>
      <c r="D722" s="43"/>
      <c r="E722" s="43"/>
      <c r="F722" s="43"/>
    </row>
    <row r="723" spans="1:6" ht="15.75" customHeight="1" x14ac:dyDescent="0.25">
      <c r="A723" s="12"/>
      <c r="B723" s="43"/>
      <c r="C723" s="43"/>
      <c r="D723" s="43"/>
      <c r="E723" s="43"/>
      <c r="F723" s="43"/>
    </row>
    <row r="724" spans="1:6" ht="15.75" customHeight="1" x14ac:dyDescent="0.25">
      <c r="A724" s="12"/>
      <c r="B724" s="43"/>
      <c r="C724" s="43"/>
      <c r="D724" s="43"/>
      <c r="E724" s="43"/>
      <c r="F724" s="43"/>
    </row>
    <row r="725" spans="1:6" ht="15.75" customHeight="1" x14ac:dyDescent="0.25">
      <c r="A725" s="12"/>
      <c r="B725" s="43"/>
      <c r="C725" s="43"/>
      <c r="D725" s="43"/>
      <c r="E725" s="43"/>
      <c r="F725" s="43"/>
    </row>
    <row r="726" spans="1:6" ht="15.75" customHeight="1" x14ac:dyDescent="0.25">
      <c r="A726" s="12"/>
      <c r="B726" s="43"/>
      <c r="C726" s="43"/>
      <c r="D726" s="43"/>
      <c r="E726" s="43"/>
      <c r="F726" s="43"/>
    </row>
    <row r="727" spans="1:6" ht="15.75" customHeight="1" x14ac:dyDescent="0.25">
      <c r="A727" s="12"/>
      <c r="B727" s="43"/>
      <c r="C727" s="43"/>
      <c r="D727" s="43"/>
      <c r="E727" s="43"/>
      <c r="F727" s="43"/>
    </row>
    <row r="728" spans="1:6" ht="15.75" customHeight="1" x14ac:dyDescent="0.25">
      <c r="A728" s="12"/>
      <c r="B728" s="43"/>
      <c r="C728" s="43"/>
      <c r="D728" s="43"/>
      <c r="E728" s="43"/>
      <c r="F728" s="43"/>
    </row>
    <row r="729" spans="1:6" ht="15.75" customHeight="1" x14ac:dyDescent="0.25">
      <c r="A729" s="12"/>
      <c r="B729" s="43"/>
      <c r="C729" s="43"/>
      <c r="D729" s="43"/>
      <c r="E729" s="43"/>
      <c r="F729" s="43"/>
    </row>
    <row r="730" spans="1:6" ht="15.75" customHeight="1" x14ac:dyDescent="0.25">
      <c r="A730" s="12"/>
      <c r="B730" s="43"/>
      <c r="C730" s="43"/>
      <c r="D730" s="43"/>
      <c r="E730" s="43"/>
      <c r="F730" s="43"/>
    </row>
    <row r="731" spans="1:6" ht="15.75" customHeight="1" x14ac:dyDescent="0.25">
      <c r="A731" s="12"/>
      <c r="B731" s="43"/>
      <c r="C731" s="43"/>
      <c r="D731" s="43"/>
      <c r="E731" s="43"/>
      <c r="F731" s="43"/>
    </row>
    <row r="732" spans="1:6" ht="15.75" customHeight="1" x14ac:dyDescent="0.25">
      <c r="B732" s="43"/>
      <c r="C732" s="43"/>
      <c r="D732" s="43"/>
      <c r="E732" s="43"/>
      <c r="F732" s="43"/>
    </row>
    <row r="733" spans="1:6" ht="15.75" customHeight="1" x14ac:dyDescent="0.25">
      <c r="B733" s="43"/>
      <c r="C733" s="43"/>
      <c r="D733" s="43"/>
      <c r="E733" s="43"/>
      <c r="F733" s="43"/>
    </row>
    <row r="734" spans="1:6" ht="15.75" customHeight="1" x14ac:dyDescent="0.25">
      <c r="B734" s="43"/>
      <c r="C734" s="43"/>
      <c r="D734" s="43"/>
      <c r="E734" s="43"/>
      <c r="F734" s="43"/>
    </row>
    <row r="735" spans="1:6" ht="15.75" customHeight="1" x14ac:dyDescent="0.25">
      <c r="B735" s="43"/>
      <c r="C735" s="43"/>
      <c r="D735" s="43"/>
      <c r="E735" s="43"/>
      <c r="F735" s="43"/>
    </row>
    <row r="736" spans="1:6" ht="15.75" customHeight="1" x14ac:dyDescent="0.25">
      <c r="B736" s="43"/>
      <c r="C736" s="43"/>
      <c r="D736" s="43"/>
      <c r="E736" s="43"/>
      <c r="F736" s="43"/>
    </row>
    <row r="737" spans="2:6" ht="15.75" customHeight="1" x14ac:dyDescent="0.25">
      <c r="B737" s="43"/>
      <c r="C737" s="43"/>
      <c r="D737" s="43"/>
      <c r="E737" s="43"/>
      <c r="F737" s="43"/>
    </row>
    <row r="738" spans="2:6" ht="15.75" customHeight="1" x14ac:dyDescent="0.25">
      <c r="B738" s="43"/>
      <c r="C738" s="43"/>
      <c r="D738" s="43"/>
      <c r="E738" s="43"/>
      <c r="F738" s="43"/>
    </row>
    <row r="739" spans="2:6" ht="15.75" customHeight="1" x14ac:dyDescent="0.25">
      <c r="B739" s="43"/>
      <c r="C739" s="43"/>
      <c r="D739" s="43"/>
      <c r="E739" s="43"/>
      <c r="F739" s="43"/>
    </row>
    <row r="740" spans="2:6" ht="15.75" customHeight="1" x14ac:dyDescent="0.25">
      <c r="B740" s="43"/>
      <c r="C740" s="43"/>
      <c r="D740" s="43"/>
      <c r="E740" s="43"/>
      <c r="F740" s="43"/>
    </row>
    <row r="741" spans="2:6" ht="15.75" customHeight="1" x14ac:dyDescent="0.25">
      <c r="B741" s="43"/>
      <c r="C741" s="43"/>
      <c r="D741" s="43"/>
      <c r="E741" s="43"/>
      <c r="F741" s="43"/>
    </row>
    <row r="742" spans="2:6" ht="15.75" customHeight="1" x14ac:dyDescent="0.25">
      <c r="B742" s="43"/>
      <c r="C742" s="43"/>
      <c r="D742" s="43"/>
      <c r="E742" s="43"/>
      <c r="F742" s="43"/>
    </row>
    <row r="743" spans="2:6" ht="15.75" customHeight="1" x14ac:dyDescent="0.25">
      <c r="B743" s="43"/>
      <c r="C743" s="43"/>
      <c r="D743" s="43"/>
      <c r="E743" s="43"/>
      <c r="F743" s="43"/>
    </row>
    <row r="744" spans="2:6" ht="15.75" customHeight="1" x14ac:dyDescent="0.25">
      <c r="B744" s="43"/>
      <c r="C744" s="43"/>
      <c r="D744" s="43"/>
      <c r="E744" s="43"/>
      <c r="F744" s="43"/>
    </row>
    <row r="745" spans="2:6" ht="15.75" customHeight="1" x14ac:dyDescent="0.25">
      <c r="B745" s="43"/>
      <c r="C745" s="43"/>
      <c r="D745" s="43"/>
      <c r="E745" s="43"/>
      <c r="F745" s="43"/>
    </row>
    <row r="746" spans="2:6" ht="15.75" customHeight="1" x14ac:dyDescent="0.25">
      <c r="B746" s="43"/>
      <c r="C746" s="43"/>
      <c r="D746" s="43"/>
      <c r="E746" s="43"/>
      <c r="F746" s="43"/>
    </row>
    <row r="747" spans="2:6" ht="15.75" customHeight="1" x14ac:dyDescent="0.25">
      <c r="B747" s="43"/>
      <c r="C747" s="43"/>
      <c r="D747" s="43"/>
      <c r="E747" s="43"/>
      <c r="F747" s="43"/>
    </row>
    <row r="748" spans="2:6" ht="15.75" customHeight="1" x14ac:dyDescent="0.25">
      <c r="B748" s="43"/>
      <c r="C748" s="43"/>
      <c r="D748" s="43"/>
      <c r="E748" s="43"/>
      <c r="F748" s="43"/>
    </row>
    <row r="749" spans="2:6" ht="15.75" customHeight="1" x14ac:dyDescent="0.25">
      <c r="B749" s="43"/>
      <c r="C749" s="43"/>
      <c r="D749" s="43"/>
      <c r="E749" s="43"/>
      <c r="F749" s="43"/>
    </row>
    <row r="750" spans="2:6" ht="15.75" customHeight="1" x14ac:dyDescent="0.25">
      <c r="B750" s="43"/>
      <c r="C750" s="43"/>
      <c r="D750" s="43"/>
      <c r="E750" s="43"/>
      <c r="F750" s="43"/>
    </row>
    <row r="751" spans="2:6" ht="15.75" customHeight="1" x14ac:dyDescent="0.25">
      <c r="B751" s="43"/>
      <c r="C751" s="43"/>
      <c r="D751" s="43"/>
      <c r="E751" s="43"/>
      <c r="F751" s="43"/>
    </row>
    <row r="752" spans="2:6" ht="15.75" customHeight="1" x14ac:dyDescent="0.25">
      <c r="B752" s="43"/>
      <c r="C752" s="43"/>
      <c r="D752" s="43"/>
      <c r="E752" s="43"/>
      <c r="F752" s="43"/>
    </row>
    <row r="753" spans="2:6" ht="15.75" customHeight="1" x14ac:dyDescent="0.25">
      <c r="B753" s="43"/>
      <c r="C753" s="43"/>
      <c r="D753" s="43"/>
      <c r="E753" s="43"/>
      <c r="F753" s="43"/>
    </row>
    <row r="754" spans="2:6" ht="15.75" customHeight="1" x14ac:dyDescent="0.25">
      <c r="B754" s="43"/>
      <c r="C754" s="43"/>
      <c r="D754" s="43"/>
      <c r="E754" s="43"/>
      <c r="F754" s="43"/>
    </row>
    <row r="755" spans="2:6" ht="15.75" customHeight="1" x14ac:dyDescent="0.25">
      <c r="B755" s="43"/>
      <c r="C755" s="43"/>
      <c r="D755" s="43"/>
      <c r="E755" s="43"/>
      <c r="F755" s="43"/>
    </row>
    <row r="756" spans="2:6" ht="15.75" customHeight="1" x14ac:dyDescent="0.25">
      <c r="B756" s="43"/>
      <c r="C756" s="43"/>
      <c r="D756" s="43"/>
      <c r="E756" s="43"/>
      <c r="F756" s="43"/>
    </row>
    <row r="757" spans="2:6" ht="15.75" customHeight="1" x14ac:dyDescent="0.25">
      <c r="B757" s="43"/>
      <c r="C757" s="43"/>
      <c r="D757" s="43"/>
      <c r="E757" s="43"/>
      <c r="F757" s="43"/>
    </row>
    <row r="758" spans="2:6" ht="15.75" customHeight="1" x14ac:dyDescent="0.25">
      <c r="B758" s="43"/>
      <c r="C758" s="43"/>
      <c r="D758" s="43"/>
      <c r="E758" s="43"/>
      <c r="F758" s="43"/>
    </row>
    <row r="759" spans="2:6" ht="15.75" customHeight="1" x14ac:dyDescent="0.25">
      <c r="B759" s="43"/>
      <c r="C759" s="43"/>
      <c r="D759" s="43"/>
      <c r="E759" s="43"/>
      <c r="F759" s="43"/>
    </row>
    <row r="760" spans="2:6" ht="15.75" customHeight="1" x14ac:dyDescent="0.25">
      <c r="B760" s="43"/>
      <c r="C760" s="43"/>
      <c r="D760" s="43"/>
      <c r="E760" s="43"/>
      <c r="F760" s="43"/>
    </row>
    <row r="761" spans="2:6" ht="15.75" customHeight="1" x14ac:dyDescent="0.25">
      <c r="B761" s="43"/>
      <c r="C761" s="43"/>
      <c r="D761" s="43"/>
      <c r="E761" s="43"/>
      <c r="F761" s="43"/>
    </row>
    <row r="762" spans="2:6" ht="15.75" customHeight="1" x14ac:dyDescent="0.25">
      <c r="B762" s="43"/>
      <c r="C762" s="43"/>
      <c r="D762" s="43"/>
      <c r="E762" s="43"/>
      <c r="F762" s="43"/>
    </row>
    <row r="763" spans="2:6" ht="15.75" customHeight="1" x14ac:dyDescent="0.25">
      <c r="B763" s="43"/>
      <c r="C763" s="43"/>
      <c r="D763" s="43"/>
      <c r="E763" s="43"/>
      <c r="F763" s="43"/>
    </row>
    <row r="764" spans="2:6" ht="15.75" customHeight="1" x14ac:dyDescent="0.25">
      <c r="B764" s="43"/>
      <c r="C764" s="43"/>
      <c r="D764" s="43"/>
      <c r="E764" s="43"/>
      <c r="F764" s="43"/>
    </row>
    <row r="765" spans="2:6" ht="15.75" customHeight="1" x14ac:dyDescent="0.25">
      <c r="B765" s="43"/>
      <c r="C765" s="43"/>
      <c r="D765" s="43"/>
      <c r="E765" s="43"/>
      <c r="F765" s="43"/>
    </row>
    <row r="766" spans="2:6" ht="15.75" customHeight="1" x14ac:dyDescent="0.25">
      <c r="B766" s="43"/>
      <c r="C766" s="43"/>
      <c r="D766" s="43"/>
      <c r="E766" s="43"/>
      <c r="F766" s="43"/>
    </row>
    <row r="767" spans="2:6" ht="15.75" customHeight="1" x14ac:dyDescent="0.25">
      <c r="B767" s="43"/>
      <c r="C767" s="43"/>
      <c r="D767" s="43"/>
      <c r="E767" s="43"/>
      <c r="F767" s="43"/>
    </row>
    <row r="768" spans="2:6" ht="15.75" customHeight="1" x14ac:dyDescent="0.25">
      <c r="B768" s="43"/>
      <c r="C768" s="43"/>
      <c r="D768" s="43"/>
      <c r="E768" s="43"/>
      <c r="F768" s="43"/>
    </row>
    <row r="769" spans="2:6" ht="15.75" customHeight="1" x14ac:dyDescent="0.25">
      <c r="B769" s="43"/>
      <c r="C769" s="43"/>
      <c r="D769" s="43"/>
      <c r="E769" s="43"/>
      <c r="F769" s="43"/>
    </row>
    <row r="770" spans="2:6" ht="15.75" customHeight="1" x14ac:dyDescent="0.25">
      <c r="B770" s="43"/>
      <c r="C770" s="43"/>
      <c r="D770" s="43"/>
      <c r="E770" s="43"/>
      <c r="F770" s="43"/>
    </row>
    <row r="771" spans="2:6" ht="15.75" customHeight="1" x14ac:dyDescent="0.25">
      <c r="B771" s="43"/>
      <c r="C771" s="43"/>
      <c r="D771" s="43"/>
      <c r="E771" s="43"/>
      <c r="F771" s="43"/>
    </row>
    <row r="772" spans="2:6" ht="15.75" customHeight="1" x14ac:dyDescent="0.25">
      <c r="B772" s="43"/>
      <c r="C772" s="43"/>
      <c r="D772" s="43"/>
      <c r="E772" s="43"/>
      <c r="F772" s="43"/>
    </row>
    <row r="773" spans="2:6" ht="15.75" customHeight="1" x14ac:dyDescent="0.25">
      <c r="B773" s="43"/>
      <c r="C773" s="43"/>
      <c r="D773" s="43"/>
      <c r="E773" s="43"/>
      <c r="F773" s="43"/>
    </row>
    <row r="774" spans="2:6" ht="15.75" customHeight="1" x14ac:dyDescent="0.25">
      <c r="B774" s="43"/>
      <c r="C774" s="43"/>
      <c r="D774" s="43"/>
      <c r="E774" s="43"/>
      <c r="F774" s="43"/>
    </row>
    <row r="775" spans="2:6" ht="15.75" customHeight="1" x14ac:dyDescent="0.25">
      <c r="B775" s="43"/>
      <c r="C775" s="43"/>
      <c r="D775" s="43"/>
      <c r="E775" s="43"/>
      <c r="F775" s="43"/>
    </row>
    <row r="776" spans="2:6" ht="15.75" customHeight="1" x14ac:dyDescent="0.25">
      <c r="B776" s="43"/>
      <c r="C776" s="43"/>
      <c r="D776" s="43"/>
      <c r="E776" s="43"/>
      <c r="F776" s="43"/>
    </row>
    <row r="777" spans="2:6" ht="15.75" customHeight="1" x14ac:dyDescent="0.25">
      <c r="B777" s="43"/>
      <c r="C777" s="43"/>
      <c r="D777" s="43"/>
      <c r="E777" s="43"/>
      <c r="F777" s="43"/>
    </row>
    <row r="778" spans="2:6" ht="15.75" customHeight="1" x14ac:dyDescent="0.25">
      <c r="B778" s="43"/>
      <c r="C778" s="43"/>
      <c r="D778" s="43"/>
      <c r="E778" s="43"/>
      <c r="F778" s="43"/>
    </row>
    <row r="779" spans="2:6" ht="15.75" customHeight="1" x14ac:dyDescent="0.25">
      <c r="B779" s="43"/>
      <c r="C779" s="43"/>
      <c r="D779" s="43"/>
      <c r="E779" s="43"/>
      <c r="F779" s="43"/>
    </row>
    <row r="780" spans="2:6" ht="15.75" customHeight="1" x14ac:dyDescent="0.25">
      <c r="B780" s="43"/>
      <c r="C780" s="43"/>
      <c r="D780" s="43"/>
      <c r="E780" s="43"/>
      <c r="F780" s="43"/>
    </row>
    <row r="781" spans="2:6" ht="15.75" customHeight="1" x14ac:dyDescent="0.25">
      <c r="B781" s="43"/>
      <c r="C781" s="43"/>
      <c r="D781" s="43"/>
      <c r="E781" s="43"/>
      <c r="F781" s="43"/>
    </row>
    <row r="782" spans="2:6" ht="15.75" customHeight="1" x14ac:dyDescent="0.25">
      <c r="B782" s="43"/>
      <c r="C782" s="43"/>
      <c r="D782" s="43"/>
      <c r="E782" s="43"/>
      <c r="F782" s="43"/>
    </row>
    <row r="783" spans="2:6" ht="15.75" customHeight="1" x14ac:dyDescent="0.25">
      <c r="B783" s="43"/>
      <c r="C783" s="43"/>
      <c r="D783" s="43"/>
      <c r="E783" s="43"/>
      <c r="F783" s="43"/>
    </row>
    <row r="784" spans="2:6" ht="15.75" customHeight="1" x14ac:dyDescent="0.25">
      <c r="B784" s="43"/>
      <c r="C784" s="43"/>
      <c r="D784" s="43"/>
      <c r="E784" s="43"/>
      <c r="F784" s="43"/>
    </row>
    <row r="785" spans="2:6" ht="15.75" customHeight="1" x14ac:dyDescent="0.25">
      <c r="B785" s="43"/>
      <c r="C785" s="43"/>
      <c r="D785" s="43"/>
      <c r="E785" s="43"/>
      <c r="F785" s="43"/>
    </row>
    <row r="786" spans="2:6" ht="15.75" customHeight="1" x14ac:dyDescent="0.25">
      <c r="B786" s="43"/>
      <c r="C786" s="43"/>
      <c r="D786" s="43"/>
      <c r="E786" s="43"/>
      <c r="F786" s="43"/>
    </row>
    <row r="787" spans="2:6" ht="15.75" customHeight="1" x14ac:dyDescent="0.25">
      <c r="B787" s="43"/>
      <c r="C787" s="43"/>
      <c r="D787" s="43"/>
      <c r="E787" s="43"/>
      <c r="F787" s="43"/>
    </row>
    <row r="788" spans="2:6" ht="15.75" customHeight="1" x14ac:dyDescent="0.25">
      <c r="B788" s="43"/>
      <c r="C788" s="43"/>
      <c r="D788" s="43"/>
      <c r="E788" s="43"/>
      <c r="F788" s="43"/>
    </row>
    <row r="789" spans="2:6" ht="15.75" customHeight="1" x14ac:dyDescent="0.25">
      <c r="B789" s="43"/>
      <c r="C789" s="43"/>
      <c r="D789" s="43"/>
      <c r="E789" s="43"/>
      <c r="F789" s="43"/>
    </row>
    <row r="790" spans="2:6" ht="15.75" customHeight="1" x14ac:dyDescent="0.25">
      <c r="B790" s="43"/>
      <c r="C790" s="43"/>
      <c r="D790" s="43"/>
      <c r="E790" s="43"/>
      <c r="F790" s="43"/>
    </row>
    <row r="791" spans="2:6" ht="15.75" customHeight="1" x14ac:dyDescent="0.25">
      <c r="B791" s="43"/>
      <c r="C791" s="43"/>
      <c r="D791" s="43"/>
      <c r="E791" s="43"/>
      <c r="F791" s="43"/>
    </row>
    <row r="792" spans="2:6" ht="15.75" customHeight="1" x14ac:dyDescent="0.25">
      <c r="B792" s="43"/>
      <c r="C792" s="43"/>
      <c r="D792" s="43"/>
      <c r="E792" s="43"/>
      <c r="F792" s="43"/>
    </row>
    <row r="793" spans="2:6" ht="15.75" customHeight="1" x14ac:dyDescent="0.25">
      <c r="B793" s="43"/>
      <c r="C793" s="43"/>
      <c r="D793" s="43"/>
      <c r="E793" s="43"/>
      <c r="F793" s="43"/>
    </row>
    <row r="794" spans="2:6" ht="15.75" customHeight="1" x14ac:dyDescent="0.25">
      <c r="B794" s="43"/>
      <c r="C794" s="43"/>
      <c r="D794" s="43"/>
      <c r="E794" s="43"/>
      <c r="F794" s="43"/>
    </row>
    <row r="795" spans="2:6" ht="15.75" customHeight="1" x14ac:dyDescent="0.25">
      <c r="B795" s="43"/>
      <c r="C795" s="43"/>
      <c r="D795" s="43"/>
      <c r="E795" s="43"/>
      <c r="F795" s="43"/>
    </row>
    <row r="796" spans="2:6" ht="15.75" customHeight="1" x14ac:dyDescent="0.25">
      <c r="B796" s="43"/>
      <c r="C796" s="43"/>
      <c r="D796" s="43"/>
      <c r="E796" s="43"/>
      <c r="F796" s="43"/>
    </row>
    <row r="797" spans="2:6" ht="15.75" customHeight="1" x14ac:dyDescent="0.25">
      <c r="B797" s="43"/>
      <c r="C797" s="43"/>
      <c r="D797" s="43"/>
      <c r="E797" s="43"/>
      <c r="F797" s="43"/>
    </row>
    <row r="798" spans="2:6" ht="15.75" customHeight="1" x14ac:dyDescent="0.25">
      <c r="B798" s="43"/>
      <c r="C798" s="43"/>
      <c r="D798" s="43"/>
      <c r="E798" s="43"/>
      <c r="F798" s="43"/>
    </row>
    <row r="799" spans="2:6" ht="15.75" customHeight="1" x14ac:dyDescent="0.25">
      <c r="B799" s="43"/>
      <c r="C799" s="43"/>
      <c r="D799" s="43"/>
      <c r="E799" s="43"/>
      <c r="F799" s="43"/>
    </row>
    <row r="800" spans="2:6" ht="15.75" customHeight="1" x14ac:dyDescent="0.25">
      <c r="B800" s="43"/>
      <c r="C800" s="43"/>
      <c r="D800" s="43"/>
      <c r="E800" s="43"/>
      <c r="F800" s="43"/>
    </row>
    <row r="801" spans="2:6" ht="15.75" customHeight="1" x14ac:dyDescent="0.25">
      <c r="B801" s="43"/>
      <c r="C801" s="43"/>
      <c r="D801" s="43"/>
      <c r="E801" s="43"/>
      <c r="F801" s="43"/>
    </row>
    <row r="802" spans="2:6" ht="15.75" customHeight="1" x14ac:dyDescent="0.25">
      <c r="B802" s="43"/>
      <c r="C802" s="43"/>
      <c r="D802" s="43"/>
      <c r="E802" s="43"/>
      <c r="F802" s="43"/>
    </row>
    <row r="803" spans="2:6" ht="15.75" customHeight="1" x14ac:dyDescent="0.25">
      <c r="B803" s="43"/>
      <c r="C803" s="43"/>
      <c r="D803" s="43"/>
      <c r="E803" s="43"/>
      <c r="F803" s="43"/>
    </row>
    <row r="804" spans="2:6" ht="15.75" customHeight="1" x14ac:dyDescent="0.25">
      <c r="B804" s="43"/>
      <c r="C804" s="43"/>
      <c r="D804" s="43"/>
      <c r="E804" s="43"/>
      <c r="F804" s="43"/>
    </row>
    <row r="805" spans="2:6" ht="15.75" customHeight="1" x14ac:dyDescent="0.25">
      <c r="B805" s="43"/>
      <c r="C805" s="43"/>
      <c r="D805" s="43"/>
      <c r="E805" s="43"/>
      <c r="F805" s="43"/>
    </row>
    <row r="806" spans="2:6" ht="15.75" customHeight="1" x14ac:dyDescent="0.25">
      <c r="B806" s="43"/>
      <c r="C806" s="43"/>
      <c r="D806" s="43"/>
      <c r="E806" s="43"/>
      <c r="F806" s="43"/>
    </row>
    <row r="807" spans="2:6" ht="15.75" customHeight="1" x14ac:dyDescent="0.25">
      <c r="B807" s="43"/>
      <c r="C807" s="43"/>
      <c r="D807" s="43"/>
      <c r="E807" s="43"/>
      <c r="F807" s="43"/>
    </row>
    <row r="808" spans="2:6" ht="15.75" customHeight="1" x14ac:dyDescent="0.25">
      <c r="B808" s="43"/>
      <c r="C808" s="43"/>
      <c r="D808" s="43"/>
      <c r="E808" s="43"/>
      <c r="F808" s="43"/>
    </row>
    <row r="809" spans="2:6" ht="15.75" customHeight="1" x14ac:dyDescent="0.25">
      <c r="B809" s="43"/>
      <c r="C809" s="43"/>
      <c r="D809" s="43"/>
      <c r="E809" s="43"/>
      <c r="F809" s="43"/>
    </row>
    <row r="810" spans="2:6" ht="15.75" customHeight="1" x14ac:dyDescent="0.25">
      <c r="B810" s="43"/>
      <c r="C810" s="43"/>
      <c r="D810" s="43"/>
      <c r="E810" s="43"/>
      <c r="F810" s="43"/>
    </row>
    <row r="811" spans="2:6" ht="15.75" customHeight="1" x14ac:dyDescent="0.25">
      <c r="B811" s="43"/>
      <c r="C811" s="43"/>
      <c r="D811" s="43"/>
      <c r="E811" s="43"/>
      <c r="F811" s="43"/>
    </row>
    <row r="812" spans="2:6" ht="15.75" customHeight="1" x14ac:dyDescent="0.25">
      <c r="B812" s="43"/>
      <c r="C812" s="43"/>
      <c r="D812" s="43"/>
      <c r="E812" s="43"/>
      <c r="F812" s="43"/>
    </row>
    <row r="813" spans="2:6" ht="15.75" customHeight="1" x14ac:dyDescent="0.25">
      <c r="B813" s="43"/>
      <c r="C813" s="43"/>
      <c r="D813" s="43"/>
      <c r="E813" s="43"/>
      <c r="F813" s="43"/>
    </row>
    <row r="814" spans="2:6" ht="15.75" customHeight="1" x14ac:dyDescent="0.25">
      <c r="B814" s="43"/>
      <c r="C814" s="43"/>
      <c r="D814" s="43"/>
      <c r="E814" s="43"/>
      <c r="F814" s="43"/>
    </row>
    <row r="815" spans="2:6" ht="15.75" customHeight="1" x14ac:dyDescent="0.25">
      <c r="B815" s="43"/>
      <c r="C815" s="43"/>
      <c r="D815" s="43"/>
      <c r="E815" s="43"/>
      <c r="F815" s="43"/>
    </row>
    <row r="816" spans="2:6" ht="15.75" customHeight="1" x14ac:dyDescent="0.25">
      <c r="B816" s="43"/>
      <c r="C816" s="43"/>
      <c r="D816" s="43"/>
      <c r="E816" s="43"/>
      <c r="F816" s="43"/>
    </row>
    <row r="817" spans="2:6" ht="15.75" customHeight="1" x14ac:dyDescent="0.25">
      <c r="B817" s="43"/>
      <c r="C817" s="43"/>
      <c r="D817" s="43"/>
      <c r="E817" s="43"/>
      <c r="F817" s="43"/>
    </row>
    <row r="818" spans="2:6" ht="15.75" customHeight="1" x14ac:dyDescent="0.25">
      <c r="B818" s="43"/>
      <c r="C818" s="43"/>
      <c r="D818" s="43"/>
      <c r="E818" s="43"/>
      <c r="F818" s="43"/>
    </row>
    <row r="819" spans="2:6" ht="15.75" customHeight="1" x14ac:dyDescent="0.25">
      <c r="B819" s="43"/>
      <c r="C819" s="43"/>
      <c r="D819" s="43"/>
      <c r="E819" s="43"/>
      <c r="F819" s="43"/>
    </row>
    <row r="820" spans="2:6" ht="15.75" customHeight="1" x14ac:dyDescent="0.25">
      <c r="B820" s="43"/>
      <c r="C820" s="43"/>
      <c r="D820" s="43"/>
      <c r="E820" s="43"/>
      <c r="F820" s="43"/>
    </row>
    <row r="821" spans="2:6" ht="15.75" customHeight="1" x14ac:dyDescent="0.25">
      <c r="B821" s="43"/>
      <c r="C821" s="43"/>
      <c r="D821" s="43"/>
      <c r="E821" s="43"/>
      <c r="F821" s="43"/>
    </row>
    <row r="822" spans="2:6" ht="15.75" customHeight="1" x14ac:dyDescent="0.25">
      <c r="B822" s="43"/>
      <c r="C822" s="43"/>
      <c r="D822" s="43"/>
      <c r="E822" s="43"/>
      <c r="F822" s="43"/>
    </row>
    <row r="823" spans="2:6" ht="15.75" customHeight="1" x14ac:dyDescent="0.25">
      <c r="B823" s="43"/>
      <c r="C823" s="43"/>
      <c r="D823" s="43"/>
      <c r="E823" s="43"/>
      <c r="F823" s="43"/>
    </row>
    <row r="824" spans="2:6" ht="15.75" customHeight="1" x14ac:dyDescent="0.25">
      <c r="B824" s="43"/>
      <c r="C824" s="43"/>
      <c r="D824" s="43"/>
      <c r="E824" s="43"/>
      <c r="F824" s="43"/>
    </row>
    <row r="825" spans="2:6" ht="15.75" customHeight="1" x14ac:dyDescent="0.25">
      <c r="B825" s="43"/>
      <c r="C825" s="43"/>
      <c r="D825" s="43"/>
      <c r="E825" s="43"/>
      <c r="F825" s="43"/>
    </row>
    <row r="826" spans="2:6" ht="15.75" customHeight="1" x14ac:dyDescent="0.25">
      <c r="B826" s="43"/>
      <c r="C826" s="43"/>
      <c r="D826" s="43"/>
      <c r="E826" s="43"/>
      <c r="F826" s="43"/>
    </row>
    <row r="827" spans="2:6" ht="15.75" customHeight="1" x14ac:dyDescent="0.25">
      <c r="B827" s="43"/>
      <c r="C827" s="43"/>
      <c r="D827" s="43"/>
      <c r="E827" s="43"/>
      <c r="F827" s="43"/>
    </row>
    <row r="828" spans="2:6" ht="15.75" customHeight="1" x14ac:dyDescent="0.25">
      <c r="B828" s="43"/>
      <c r="C828" s="43"/>
      <c r="D828" s="43"/>
      <c r="E828" s="43"/>
      <c r="F828" s="43"/>
    </row>
    <row r="829" spans="2:6" ht="15.75" customHeight="1" x14ac:dyDescent="0.25">
      <c r="B829" s="43"/>
      <c r="C829" s="43"/>
      <c r="D829" s="43"/>
      <c r="E829" s="43"/>
      <c r="F829" s="43"/>
    </row>
    <row r="830" spans="2:6" ht="15.75" customHeight="1" x14ac:dyDescent="0.25">
      <c r="B830" s="43"/>
      <c r="C830" s="43"/>
      <c r="D830" s="43"/>
      <c r="E830" s="43"/>
      <c r="F830" s="43"/>
    </row>
    <row r="831" spans="2:6" ht="15.75" customHeight="1" x14ac:dyDescent="0.25">
      <c r="B831" s="43"/>
      <c r="C831" s="43"/>
      <c r="D831" s="43"/>
      <c r="E831" s="43"/>
      <c r="F831" s="43"/>
    </row>
    <row r="832" spans="2:6" ht="15.75" customHeight="1" x14ac:dyDescent="0.25">
      <c r="B832" s="43"/>
      <c r="C832" s="43"/>
      <c r="D832" s="43"/>
      <c r="E832" s="43"/>
      <c r="F832" s="43"/>
    </row>
    <row r="833" spans="2:6" ht="15.75" customHeight="1" x14ac:dyDescent="0.25">
      <c r="B833" s="43"/>
      <c r="C833" s="43"/>
      <c r="D833" s="43"/>
      <c r="E833" s="43"/>
      <c r="F833" s="43"/>
    </row>
    <row r="834" spans="2:6" ht="15.75" customHeight="1" x14ac:dyDescent="0.25">
      <c r="B834" s="43"/>
      <c r="C834" s="43"/>
      <c r="D834" s="43"/>
      <c r="E834" s="43"/>
      <c r="F834" s="43"/>
    </row>
    <row r="835" spans="2:6" ht="15.75" customHeight="1" x14ac:dyDescent="0.25">
      <c r="B835" s="43"/>
      <c r="C835" s="43"/>
      <c r="D835" s="43"/>
      <c r="E835" s="43"/>
      <c r="F835" s="43"/>
    </row>
    <row r="836" spans="2:6" ht="15.75" customHeight="1" x14ac:dyDescent="0.25">
      <c r="B836" s="43"/>
      <c r="C836" s="43"/>
      <c r="D836" s="43"/>
      <c r="E836" s="43"/>
      <c r="F836" s="43"/>
    </row>
    <row r="837" spans="2:6" ht="15.75" customHeight="1" x14ac:dyDescent="0.25">
      <c r="B837" s="43"/>
      <c r="C837" s="43"/>
      <c r="D837" s="43"/>
      <c r="E837" s="43"/>
      <c r="F837" s="43"/>
    </row>
    <row r="838" spans="2:6" ht="15.75" customHeight="1" x14ac:dyDescent="0.25">
      <c r="B838" s="43"/>
      <c r="C838" s="43"/>
      <c r="D838" s="43"/>
      <c r="E838" s="43"/>
      <c r="F838" s="43"/>
    </row>
    <row r="839" spans="2:6" ht="15.75" customHeight="1" x14ac:dyDescent="0.25">
      <c r="B839" s="43"/>
      <c r="C839" s="43"/>
      <c r="D839" s="43"/>
      <c r="E839" s="43"/>
      <c r="F839" s="43"/>
    </row>
    <row r="840" spans="2:6" ht="15.75" customHeight="1" x14ac:dyDescent="0.25">
      <c r="B840" s="43"/>
      <c r="C840" s="43"/>
      <c r="D840" s="43"/>
      <c r="E840" s="43"/>
      <c r="F840" s="43"/>
    </row>
    <row r="841" spans="2:6" ht="15.75" customHeight="1" x14ac:dyDescent="0.25">
      <c r="B841" s="43"/>
      <c r="C841" s="43"/>
      <c r="D841" s="43"/>
      <c r="E841" s="43"/>
      <c r="F841" s="43"/>
    </row>
    <row r="842" spans="2:6" ht="15.75" customHeight="1" x14ac:dyDescent="0.25">
      <c r="B842" s="43"/>
      <c r="C842" s="43"/>
      <c r="D842" s="43"/>
      <c r="E842" s="43"/>
      <c r="F842" s="43"/>
    </row>
    <row r="843" spans="2:6" ht="15.75" customHeight="1" x14ac:dyDescent="0.25">
      <c r="B843" s="43"/>
      <c r="C843" s="43"/>
      <c r="D843" s="43"/>
      <c r="E843" s="43"/>
      <c r="F843" s="43"/>
    </row>
    <row r="844" spans="2:6" ht="15.75" customHeight="1" x14ac:dyDescent="0.25">
      <c r="B844" s="43"/>
      <c r="C844" s="43"/>
      <c r="D844" s="43"/>
      <c r="E844" s="43"/>
      <c r="F844" s="43"/>
    </row>
    <row r="845" spans="2:6" ht="15.75" customHeight="1" x14ac:dyDescent="0.25">
      <c r="B845" s="43"/>
      <c r="C845" s="43"/>
      <c r="D845" s="43"/>
      <c r="E845" s="43"/>
      <c r="F845" s="43"/>
    </row>
    <row r="846" spans="2:6" ht="15.75" customHeight="1" x14ac:dyDescent="0.25">
      <c r="B846" s="43"/>
      <c r="C846" s="43"/>
      <c r="D846" s="43"/>
      <c r="E846" s="43"/>
      <c r="F846" s="43"/>
    </row>
    <row r="847" spans="2:6" ht="15.75" customHeight="1" x14ac:dyDescent="0.25">
      <c r="B847" s="43"/>
      <c r="C847" s="43"/>
      <c r="D847" s="43"/>
      <c r="E847" s="43"/>
      <c r="F847" s="43"/>
    </row>
    <row r="848" spans="2:6" ht="15.75" customHeight="1" x14ac:dyDescent="0.25">
      <c r="B848" s="43"/>
      <c r="C848" s="43"/>
      <c r="D848" s="43"/>
      <c r="E848" s="43"/>
      <c r="F848" s="43"/>
    </row>
    <row r="849" spans="2:6" ht="15.75" customHeight="1" x14ac:dyDescent="0.25">
      <c r="B849" s="43"/>
      <c r="C849" s="43"/>
      <c r="D849" s="43"/>
      <c r="E849" s="43"/>
      <c r="F849" s="43"/>
    </row>
    <row r="850" spans="2:6" ht="15.75" customHeight="1" x14ac:dyDescent="0.25">
      <c r="B850" s="43"/>
      <c r="C850" s="43"/>
      <c r="D850" s="43"/>
      <c r="E850" s="43"/>
      <c r="F850" s="43"/>
    </row>
    <row r="851" spans="2:6" ht="15.75" customHeight="1" x14ac:dyDescent="0.25">
      <c r="B851" s="43"/>
      <c r="C851" s="43"/>
      <c r="D851" s="43"/>
      <c r="E851" s="43"/>
      <c r="F851" s="43"/>
    </row>
    <row r="852" spans="2:6" ht="15.75" customHeight="1" x14ac:dyDescent="0.25">
      <c r="B852" s="43"/>
      <c r="C852" s="43"/>
      <c r="D852" s="43"/>
      <c r="E852" s="43"/>
      <c r="F852" s="43"/>
    </row>
    <row r="853" spans="2:6" ht="15.75" customHeight="1" x14ac:dyDescent="0.25">
      <c r="B853" s="43"/>
      <c r="C853" s="43"/>
      <c r="D853" s="43"/>
      <c r="E853" s="43"/>
      <c r="F853" s="43"/>
    </row>
    <row r="854" spans="2:6" ht="15.75" customHeight="1" x14ac:dyDescent="0.25">
      <c r="B854" s="43"/>
      <c r="C854" s="43"/>
      <c r="D854" s="43"/>
      <c r="E854" s="43"/>
      <c r="F854" s="43"/>
    </row>
    <row r="855" spans="2:6" ht="15.75" customHeight="1" x14ac:dyDescent="0.25">
      <c r="B855" s="43"/>
      <c r="C855" s="43"/>
      <c r="D855" s="43"/>
      <c r="E855" s="43"/>
      <c r="F855" s="43"/>
    </row>
    <row r="856" spans="2:6" ht="15.75" customHeight="1" x14ac:dyDescent="0.25">
      <c r="B856" s="43"/>
      <c r="C856" s="43"/>
      <c r="D856" s="43"/>
      <c r="E856" s="43"/>
      <c r="F856" s="43"/>
    </row>
    <row r="857" spans="2:6" ht="15.75" customHeight="1" x14ac:dyDescent="0.25">
      <c r="B857" s="43"/>
      <c r="C857" s="43"/>
      <c r="D857" s="43"/>
      <c r="E857" s="43"/>
      <c r="F857" s="43"/>
    </row>
    <row r="858" spans="2:6" ht="15.75" customHeight="1" x14ac:dyDescent="0.25">
      <c r="B858" s="43"/>
      <c r="C858" s="43"/>
      <c r="D858" s="43"/>
      <c r="E858" s="43"/>
      <c r="F858" s="43"/>
    </row>
    <row r="859" spans="2:6" ht="15.75" customHeight="1" x14ac:dyDescent="0.25">
      <c r="B859" s="43"/>
      <c r="C859" s="43"/>
      <c r="D859" s="43"/>
      <c r="E859" s="43"/>
      <c r="F859" s="43"/>
    </row>
    <row r="860" spans="2:6" ht="15.75" customHeight="1" x14ac:dyDescent="0.25">
      <c r="B860" s="43"/>
      <c r="C860" s="43"/>
      <c r="D860" s="43"/>
      <c r="E860" s="43"/>
      <c r="F860" s="43"/>
    </row>
    <row r="861" spans="2:6" ht="15.75" customHeight="1" x14ac:dyDescent="0.25">
      <c r="B861" s="43"/>
      <c r="C861" s="43"/>
      <c r="D861" s="43"/>
      <c r="E861" s="43"/>
      <c r="F861" s="43"/>
    </row>
    <row r="862" spans="2:6" ht="15.75" customHeight="1" x14ac:dyDescent="0.25">
      <c r="B862" s="43"/>
      <c r="C862" s="43"/>
      <c r="D862" s="43"/>
      <c r="E862" s="43"/>
      <c r="F862" s="43"/>
    </row>
    <row r="863" spans="2:6" ht="15.75" customHeight="1" x14ac:dyDescent="0.25">
      <c r="B863" s="43"/>
      <c r="C863" s="43"/>
      <c r="D863" s="43"/>
      <c r="E863" s="43"/>
      <c r="F863" s="43"/>
    </row>
    <row r="864" spans="2:6" ht="15.75" customHeight="1" x14ac:dyDescent="0.25">
      <c r="B864" s="43"/>
      <c r="C864" s="43"/>
      <c r="D864" s="43"/>
      <c r="E864" s="43"/>
      <c r="F864" s="43"/>
    </row>
    <row r="865" spans="2:6" ht="15.75" customHeight="1" x14ac:dyDescent="0.25">
      <c r="B865" s="43"/>
      <c r="C865" s="43"/>
      <c r="D865" s="43"/>
      <c r="E865" s="43"/>
      <c r="F865" s="43"/>
    </row>
    <row r="866" spans="2:6" ht="15.75" customHeight="1" x14ac:dyDescent="0.25">
      <c r="B866" s="43"/>
      <c r="C866" s="43"/>
      <c r="D866" s="43"/>
      <c r="E866" s="43"/>
      <c r="F866" s="43"/>
    </row>
    <row r="867" spans="2:6" ht="15.75" customHeight="1" x14ac:dyDescent="0.25">
      <c r="B867" s="43"/>
      <c r="C867" s="43"/>
      <c r="D867" s="43"/>
      <c r="E867" s="43"/>
      <c r="F867" s="43"/>
    </row>
    <row r="868" spans="2:6" ht="15.75" customHeight="1" x14ac:dyDescent="0.25">
      <c r="B868" s="43"/>
      <c r="C868" s="43"/>
      <c r="D868" s="43"/>
      <c r="E868" s="43"/>
      <c r="F868" s="43"/>
    </row>
    <row r="869" spans="2:6" ht="15.75" customHeight="1" x14ac:dyDescent="0.25">
      <c r="B869" s="43"/>
      <c r="C869" s="43"/>
      <c r="D869" s="43"/>
      <c r="E869" s="43"/>
      <c r="F869" s="43"/>
    </row>
    <row r="870" spans="2:6" ht="15.75" customHeight="1" x14ac:dyDescent="0.25">
      <c r="B870" s="43"/>
      <c r="C870" s="43"/>
      <c r="D870" s="43"/>
      <c r="E870" s="43"/>
      <c r="F870" s="43"/>
    </row>
    <row r="871" spans="2:6" ht="15.75" customHeight="1" x14ac:dyDescent="0.25">
      <c r="B871" s="43"/>
      <c r="C871" s="43"/>
      <c r="D871" s="43"/>
      <c r="E871" s="43"/>
      <c r="F871" s="43"/>
    </row>
    <row r="872" spans="2:6" ht="15.75" customHeight="1" x14ac:dyDescent="0.25">
      <c r="B872" s="43"/>
      <c r="C872" s="43"/>
      <c r="D872" s="43"/>
      <c r="E872" s="43"/>
      <c r="F872" s="43"/>
    </row>
    <row r="873" spans="2:6" ht="15.75" customHeight="1" x14ac:dyDescent="0.25">
      <c r="B873" s="43"/>
      <c r="C873" s="43"/>
      <c r="D873" s="43"/>
      <c r="E873" s="43"/>
      <c r="F873" s="43"/>
    </row>
    <row r="874" spans="2:6" ht="15.75" customHeight="1" x14ac:dyDescent="0.25">
      <c r="B874" s="43"/>
      <c r="C874" s="43"/>
      <c r="D874" s="43"/>
      <c r="E874" s="43"/>
      <c r="F874" s="43"/>
    </row>
    <row r="875" spans="2:6" ht="15.75" customHeight="1" x14ac:dyDescent="0.25">
      <c r="B875" s="43"/>
      <c r="C875" s="43"/>
      <c r="D875" s="43"/>
      <c r="E875" s="43"/>
      <c r="F875" s="43"/>
    </row>
    <row r="876" spans="2:6" ht="15.75" customHeight="1" x14ac:dyDescent="0.25">
      <c r="B876" s="43"/>
      <c r="C876" s="43"/>
      <c r="D876" s="43"/>
      <c r="E876" s="43"/>
      <c r="F876" s="43"/>
    </row>
    <row r="877" spans="2:6" ht="15.75" customHeight="1" x14ac:dyDescent="0.25">
      <c r="B877" s="43"/>
      <c r="C877" s="43"/>
      <c r="D877" s="43"/>
      <c r="E877" s="43"/>
      <c r="F877" s="43"/>
    </row>
    <row r="878" spans="2:6" ht="15.75" customHeight="1" x14ac:dyDescent="0.25">
      <c r="B878" s="43"/>
      <c r="C878" s="43"/>
      <c r="D878" s="43"/>
      <c r="E878" s="43"/>
      <c r="F878" s="43"/>
    </row>
    <row r="879" spans="2:6" ht="15.75" customHeight="1" x14ac:dyDescent="0.25">
      <c r="B879" s="43"/>
      <c r="C879" s="43"/>
      <c r="D879" s="43"/>
      <c r="E879" s="43"/>
      <c r="F879" s="43"/>
    </row>
    <row r="880" spans="2:6" ht="15.75" customHeight="1" x14ac:dyDescent="0.25">
      <c r="B880" s="43"/>
      <c r="C880" s="43"/>
      <c r="D880" s="43"/>
      <c r="E880" s="43"/>
      <c r="F880" s="43"/>
    </row>
    <row r="881" spans="2:6" ht="15.75" customHeight="1" x14ac:dyDescent="0.25">
      <c r="B881" s="43"/>
      <c r="C881" s="43"/>
      <c r="D881" s="43"/>
      <c r="E881" s="43"/>
      <c r="F881" s="43"/>
    </row>
    <row r="882" spans="2:6" ht="15.75" customHeight="1" x14ac:dyDescent="0.25">
      <c r="B882" s="43"/>
      <c r="C882" s="43"/>
      <c r="D882" s="43"/>
      <c r="E882" s="43"/>
      <c r="F882" s="43"/>
    </row>
    <row r="883" spans="2:6" ht="15.75" customHeight="1" x14ac:dyDescent="0.25">
      <c r="B883" s="43"/>
      <c r="C883" s="43"/>
      <c r="D883" s="43"/>
      <c r="E883" s="43"/>
      <c r="F883" s="43"/>
    </row>
    <row r="884" spans="2:6" ht="15.75" customHeight="1" x14ac:dyDescent="0.25">
      <c r="B884" s="43"/>
      <c r="C884" s="43"/>
      <c r="D884" s="43"/>
      <c r="E884" s="43"/>
      <c r="F884" s="43"/>
    </row>
    <row r="885" spans="2:6" ht="15.75" customHeight="1" x14ac:dyDescent="0.25">
      <c r="B885" s="43"/>
      <c r="C885" s="43"/>
      <c r="D885" s="43"/>
      <c r="E885" s="43"/>
      <c r="F885" s="43"/>
    </row>
    <row r="886" spans="2:6" ht="15.75" customHeight="1" x14ac:dyDescent="0.25">
      <c r="B886" s="43"/>
      <c r="C886" s="43"/>
      <c r="D886" s="43"/>
      <c r="E886" s="43"/>
      <c r="F886" s="43"/>
    </row>
    <row r="887" spans="2:6" ht="15.75" customHeight="1" x14ac:dyDescent="0.25">
      <c r="B887" s="43"/>
      <c r="C887" s="43"/>
      <c r="D887" s="43"/>
      <c r="E887" s="43"/>
      <c r="F887" s="43"/>
    </row>
    <row r="888" spans="2:6" ht="15.75" customHeight="1" x14ac:dyDescent="0.25">
      <c r="B888" s="43"/>
      <c r="C888" s="43"/>
      <c r="D888" s="43"/>
      <c r="E888" s="43"/>
      <c r="F888" s="43"/>
    </row>
    <row r="889" spans="2:6" ht="15.75" customHeight="1" x14ac:dyDescent="0.25">
      <c r="B889" s="43"/>
      <c r="C889" s="43"/>
      <c r="D889" s="43"/>
      <c r="E889" s="43"/>
      <c r="F889" s="43"/>
    </row>
    <row r="890" spans="2:6" ht="15.75" customHeight="1" x14ac:dyDescent="0.25">
      <c r="B890" s="43"/>
      <c r="C890" s="43"/>
      <c r="D890" s="43"/>
      <c r="E890" s="43"/>
      <c r="F890" s="43"/>
    </row>
    <row r="891" spans="2:6" ht="15.75" customHeight="1" x14ac:dyDescent="0.25">
      <c r="B891" s="43"/>
      <c r="C891" s="43"/>
      <c r="D891" s="43"/>
      <c r="E891" s="43"/>
      <c r="F891" s="43"/>
    </row>
    <row r="892" spans="2:6" ht="15.75" customHeight="1" x14ac:dyDescent="0.25">
      <c r="B892" s="43"/>
      <c r="C892" s="43"/>
      <c r="D892" s="43"/>
      <c r="E892" s="43"/>
      <c r="F892" s="43"/>
    </row>
    <row r="893" spans="2:6" ht="15.75" customHeight="1" x14ac:dyDescent="0.25">
      <c r="B893" s="43"/>
      <c r="C893" s="43"/>
      <c r="D893" s="43"/>
      <c r="E893" s="43"/>
      <c r="F893" s="43"/>
    </row>
    <row r="894" spans="2:6" ht="15.75" customHeight="1" x14ac:dyDescent="0.25">
      <c r="B894" s="43"/>
      <c r="C894" s="43"/>
      <c r="D894" s="43"/>
      <c r="E894" s="43"/>
      <c r="F894" s="43"/>
    </row>
    <row r="895" spans="2:6" ht="15.75" customHeight="1" x14ac:dyDescent="0.25">
      <c r="B895" s="43"/>
      <c r="C895" s="43"/>
      <c r="D895" s="43"/>
      <c r="E895" s="43"/>
      <c r="F895" s="43"/>
    </row>
    <row r="896" spans="2:6" ht="15.75" customHeight="1" x14ac:dyDescent="0.25">
      <c r="B896" s="43"/>
      <c r="C896" s="43"/>
      <c r="D896" s="43"/>
      <c r="E896" s="43"/>
      <c r="F896" s="43"/>
    </row>
    <row r="897" spans="2:6" ht="15.75" customHeight="1" x14ac:dyDescent="0.25">
      <c r="B897" s="43"/>
      <c r="C897" s="43"/>
      <c r="D897" s="43"/>
      <c r="E897" s="43"/>
      <c r="F897" s="43"/>
    </row>
    <row r="898" spans="2:6" ht="15.75" customHeight="1" x14ac:dyDescent="0.25">
      <c r="B898" s="43"/>
      <c r="C898" s="43"/>
      <c r="D898" s="43"/>
      <c r="E898" s="43"/>
      <c r="F898" s="43"/>
    </row>
    <row r="899" spans="2:6" ht="15.75" customHeight="1" x14ac:dyDescent="0.25">
      <c r="B899" s="43"/>
      <c r="C899" s="43"/>
      <c r="D899" s="43"/>
      <c r="E899" s="43"/>
      <c r="F899" s="43"/>
    </row>
    <row r="900" spans="2:6" ht="15.75" customHeight="1" x14ac:dyDescent="0.25">
      <c r="B900" s="43"/>
      <c r="C900" s="43"/>
      <c r="D900" s="43"/>
      <c r="E900" s="43"/>
      <c r="F900" s="43"/>
    </row>
    <row r="901" spans="2:6" ht="15.75" customHeight="1" x14ac:dyDescent="0.25">
      <c r="B901" s="43"/>
      <c r="C901" s="43"/>
      <c r="D901" s="43"/>
      <c r="E901" s="43"/>
      <c r="F901" s="43"/>
    </row>
    <row r="902" spans="2:6" ht="15.75" customHeight="1" x14ac:dyDescent="0.25">
      <c r="B902" s="43"/>
      <c r="C902" s="43"/>
      <c r="D902" s="43"/>
      <c r="E902" s="43"/>
      <c r="F902" s="43"/>
    </row>
    <row r="903" spans="2:6" ht="15.75" customHeight="1" x14ac:dyDescent="0.25">
      <c r="B903" s="43"/>
      <c r="C903" s="43"/>
      <c r="D903" s="43"/>
      <c r="E903" s="43"/>
      <c r="F903" s="43"/>
    </row>
    <row r="904" spans="2:6" ht="15.75" customHeight="1" x14ac:dyDescent="0.25">
      <c r="B904" s="43"/>
      <c r="C904" s="43"/>
      <c r="D904" s="43"/>
      <c r="E904" s="43"/>
      <c r="F904" s="43"/>
    </row>
    <row r="905" spans="2:6" ht="15.75" customHeight="1" x14ac:dyDescent="0.25">
      <c r="B905" s="43"/>
      <c r="C905" s="43"/>
      <c r="D905" s="43"/>
      <c r="E905" s="43"/>
      <c r="F905" s="43"/>
    </row>
    <row r="906" spans="2:6" ht="15.75" customHeight="1" x14ac:dyDescent="0.25">
      <c r="B906" s="43"/>
      <c r="C906" s="43"/>
      <c r="D906" s="43"/>
      <c r="E906" s="43"/>
      <c r="F906" s="43"/>
    </row>
    <row r="907" spans="2:6" ht="15.75" customHeight="1" x14ac:dyDescent="0.25">
      <c r="B907" s="43"/>
      <c r="C907" s="43"/>
      <c r="D907" s="43"/>
      <c r="E907" s="43"/>
      <c r="F907" s="43"/>
    </row>
    <row r="908" spans="2:6" ht="15.75" customHeight="1" x14ac:dyDescent="0.25">
      <c r="B908" s="43"/>
      <c r="C908" s="43"/>
      <c r="D908" s="43"/>
      <c r="E908" s="43"/>
      <c r="F908" s="43"/>
    </row>
    <row r="909" spans="2:6" ht="15.75" customHeight="1" x14ac:dyDescent="0.25">
      <c r="B909" s="43"/>
      <c r="C909" s="43"/>
      <c r="D909" s="43"/>
      <c r="E909" s="43"/>
      <c r="F909" s="43"/>
    </row>
    <row r="910" spans="2:6" ht="15.75" customHeight="1" x14ac:dyDescent="0.25">
      <c r="B910" s="43"/>
      <c r="C910" s="43"/>
      <c r="D910" s="43"/>
      <c r="E910" s="43"/>
      <c r="F910" s="43"/>
    </row>
    <row r="911" spans="2:6" ht="15.75" customHeight="1" x14ac:dyDescent="0.25">
      <c r="B911" s="43"/>
      <c r="C911" s="43"/>
      <c r="D911" s="43"/>
      <c r="E911" s="43"/>
      <c r="F911" s="43"/>
    </row>
    <row r="912" spans="2:6" ht="15.75" customHeight="1" x14ac:dyDescent="0.25">
      <c r="B912" s="43"/>
      <c r="C912" s="43"/>
      <c r="D912" s="43"/>
      <c r="E912" s="43"/>
      <c r="F912" s="43"/>
    </row>
    <row r="913" spans="2:6" ht="15.75" customHeight="1" x14ac:dyDescent="0.25">
      <c r="B913" s="43"/>
      <c r="C913" s="43"/>
      <c r="D913" s="43"/>
      <c r="E913" s="43"/>
      <c r="F913" s="43"/>
    </row>
    <row r="914" spans="2:6" ht="15.75" customHeight="1" x14ac:dyDescent="0.25">
      <c r="B914" s="43"/>
      <c r="C914" s="43"/>
      <c r="D914" s="43"/>
      <c r="E914" s="43"/>
      <c r="F914" s="43"/>
    </row>
    <row r="915" spans="2:6" ht="15.75" customHeight="1" x14ac:dyDescent="0.25">
      <c r="B915" s="43"/>
      <c r="C915" s="43"/>
      <c r="D915" s="43"/>
      <c r="E915" s="43"/>
      <c r="F915" s="43"/>
    </row>
    <row r="916" spans="2:6" ht="15.75" customHeight="1" x14ac:dyDescent="0.25">
      <c r="B916" s="43"/>
      <c r="C916" s="43"/>
      <c r="D916" s="43"/>
      <c r="E916" s="43"/>
      <c r="F916" s="43"/>
    </row>
    <row r="917" spans="2:6" ht="15.75" customHeight="1" x14ac:dyDescent="0.25">
      <c r="B917" s="43"/>
      <c r="C917" s="43"/>
      <c r="D917" s="43"/>
      <c r="E917" s="43"/>
      <c r="F917" s="43"/>
    </row>
    <row r="918" spans="2:6" ht="15.75" customHeight="1" x14ac:dyDescent="0.25">
      <c r="B918" s="43"/>
      <c r="C918" s="43"/>
      <c r="D918" s="43"/>
      <c r="E918" s="43"/>
      <c r="F918" s="43"/>
    </row>
    <row r="919" spans="2:6" ht="15.75" customHeight="1" x14ac:dyDescent="0.25">
      <c r="B919" s="43"/>
      <c r="C919" s="43"/>
      <c r="D919" s="43"/>
      <c r="E919" s="43"/>
      <c r="F919" s="43"/>
    </row>
    <row r="920" spans="2:6" ht="15.75" customHeight="1" x14ac:dyDescent="0.25">
      <c r="B920" s="43"/>
      <c r="C920" s="43"/>
      <c r="D920" s="43"/>
      <c r="E920" s="43"/>
      <c r="F920" s="43"/>
    </row>
    <row r="921" spans="2:6" ht="15.75" customHeight="1" x14ac:dyDescent="0.25">
      <c r="B921" s="43"/>
      <c r="C921" s="43"/>
      <c r="D921" s="43"/>
      <c r="E921" s="43"/>
      <c r="F921" s="43"/>
    </row>
    <row r="922" spans="2:6" ht="15.75" customHeight="1" x14ac:dyDescent="0.25">
      <c r="B922" s="43"/>
      <c r="C922" s="43"/>
      <c r="D922" s="43"/>
      <c r="E922" s="43"/>
      <c r="F922" s="43"/>
    </row>
    <row r="923" spans="2:6" ht="15.75" customHeight="1" x14ac:dyDescent="0.25">
      <c r="B923" s="43"/>
      <c r="C923" s="43"/>
      <c r="D923" s="43"/>
      <c r="E923" s="43"/>
      <c r="F923" s="43"/>
    </row>
    <row r="924" spans="2:6" ht="15.75" customHeight="1" x14ac:dyDescent="0.25">
      <c r="B924" s="43"/>
      <c r="C924" s="43"/>
      <c r="D924" s="43"/>
      <c r="E924" s="43"/>
      <c r="F924" s="43"/>
    </row>
    <row r="925" spans="2:6" ht="15.75" customHeight="1" x14ac:dyDescent="0.25">
      <c r="B925" s="43"/>
      <c r="C925" s="43"/>
      <c r="D925" s="43"/>
      <c r="E925" s="43"/>
      <c r="F925" s="43"/>
    </row>
    <row r="926" spans="2:6" ht="15.75" customHeight="1" x14ac:dyDescent="0.25">
      <c r="B926" s="43"/>
      <c r="C926" s="43"/>
      <c r="D926" s="43"/>
      <c r="E926" s="43"/>
      <c r="F926" s="43"/>
    </row>
    <row r="927" spans="2:6" ht="15.75" customHeight="1" x14ac:dyDescent="0.25">
      <c r="B927" s="43"/>
      <c r="C927" s="43"/>
      <c r="D927" s="43"/>
      <c r="E927" s="43"/>
      <c r="F927" s="43"/>
    </row>
    <row r="928" spans="2:6" ht="15.75" customHeight="1" x14ac:dyDescent="0.25">
      <c r="B928" s="43"/>
      <c r="C928" s="43"/>
      <c r="D928" s="43"/>
      <c r="E928" s="43"/>
      <c r="F928" s="43"/>
    </row>
    <row r="929" spans="2:6" ht="15.75" customHeight="1" x14ac:dyDescent="0.25">
      <c r="B929" s="43"/>
      <c r="C929" s="43"/>
      <c r="D929" s="43"/>
      <c r="E929" s="43"/>
      <c r="F929" s="43"/>
    </row>
    <row r="930" spans="2:6" ht="15.75" customHeight="1" x14ac:dyDescent="0.25">
      <c r="B930" s="43"/>
      <c r="C930" s="43"/>
      <c r="D930" s="43"/>
      <c r="E930" s="43"/>
      <c r="F930" s="43"/>
    </row>
    <row r="931" spans="2:6" ht="15.75" customHeight="1" x14ac:dyDescent="0.25">
      <c r="B931" s="43"/>
      <c r="C931" s="43"/>
      <c r="D931" s="43"/>
      <c r="E931" s="43"/>
      <c r="F931" s="43"/>
    </row>
    <row r="932" spans="2:6" ht="15.75" customHeight="1" x14ac:dyDescent="0.25">
      <c r="B932" s="43"/>
      <c r="C932" s="43"/>
      <c r="D932" s="43"/>
      <c r="E932" s="43"/>
      <c r="F932" s="43"/>
    </row>
    <row r="933" spans="2:6" ht="15.75" customHeight="1" x14ac:dyDescent="0.25">
      <c r="B933" s="43"/>
      <c r="C933" s="43"/>
      <c r="D933" s="43"/>
      <c r="E933" s="43"/>
      <c r="F933" s="43"/>
    </row>
    <row r="934" spans="2:6" ht="15.75" customHeight="1" x14ac:dyDescent="0.25">
      <c r="B934" s="43"/>
      <c r="C934" s="43"/>
      <c r="D934" s="43"/>
      <c r="E934" s="43"/>
      <c r="F934" s="43"/>
    </row>
    <row r="935" spans="2:6" ht="15.75" customHeight="1" x14ac:dyDescent="0.25">
      <c r="B935" s="43"/>
      <c r="C935" s="43"/>
      <c r="D935" s="43"/>
      <c r="E935" s="43"/>
      <c r="F935" s="43"/>
    </row>
    <row r="936" spans="2:6" ht="15.75" customHeight="1" x14ac:dyDescent="0.25">
      <c r="B936" s="43"/>
      <c r="C936" s="43"/>
      <c r="D936" s="43"/>
      <c r="E936" s="43"/>
      <c r="F936" s="43"/>
    </row>
    <row r="937" spans="2:6" ht="15.75" customHeight="1" x14ac:dyDescent="0.25">
      <c r="B937" s="43"/>
      <c r="C937" s="43"/>
      <c r="D937" s="43"/>
      <c r="E937" s="43"/>
      <c r="F937" s="43"/>
    </row>
    <row r="938" spans="2:6" ht="15.75" customHeight="1" x14ac:dyDescent="0.25">
      <c r="B938" s="43"/>
      <c r="C938" s="43"/>
      <c r="D938" s="43"/>
      <c r="E938" s="43"/>
      <c r="F938" s="43"/>
    </row>
    <row r="939" spans="2:6" ht="15.75" customHeight="1" x14ac:dyDescent="0.25">
      <c r="B939" s="43"/>
      <c r="C939" s="43"/>
      <c r="D939" s="43"/>
      <c r="E939" s="43"/>
      <c r="F939" s="43"/>
    </row>
    <row r="940" spans="2:6" ht="15.75" customHeight="1" x14ac:dyDescent="0.25">
      <c r="B940" s="43"/>
      <c r="C940" s="43"/>
      <c r="D940" s="43"/>
      <c r="E940" s="43"/>
      <c r="F940" s="43"/>
    </row>
    <row r="941" spans="2:6" ht="15.75" customHeight="1" x14ac:dyDescent="0.25">
      <c r="B941" s="43"/>
      <c r="C941" s="43"/>
      <c r="D941" s="43"/>
      <c r="E941" s="43"/>
      <c r="F941" s="43"/>
    </row>
    <row r="942" spans="2:6" ht="15.75" customHeight="1" x14ac:dyDescent="0.25">
      <c r="B942" s="43"/>
      <c r="C942" s="43"/>
      <c r="D942" s="43"/>
      <c r="E942" s="43"/>
      <c r="F942" s="43"/>
    </row>
    <row r="943" spans="2:6" ht="15.75" customHeight="1" x14ac:dyDescent="0.25">
      <c r="B943" s="43"/>
      <c r="C943" s="43"/>
      <c r="D943" s="43"/>
      <c r="E943" s="43"/>
      <c r="F943" s="43"/>
    </row>
    <row r="944" spans="2:6" ht="15.75" customHeight="1" x14ac:dyDescent="0.25">
      <c r="B944" s="43"/>
      <c r="C944" s="43"/>
      <c r="D944" s="43"/>
      <c r="E944" s="43"/>
      <c r="F944" s="43"/>
    </row>
    <row r="945" spans="2:6" ht="15.75" customHeight="1" x14ac:dyDescent="0.25">
      <c r="B945" s="43"/>
      <c r="C945" s="43"/>
      <c r="D945" s="43"/>
      <c r="E945" s="43"/>
      <c r="F945" s="43"/>
    </row>
    <row r="946" spans="2:6" ht="15.75" customHeight="1" x14ac:dyDescent="0.25">
      <c r="B946" s="43"/>
      <c r="C946" s="43"/>
      <c r="D946" s="43"/>
      <c r="E946" s="43"/>
      <c r="F946" s="43"/>
    </row>
    <row r="947" spans="2:6" ht="15.75" customHeight="1" x14ac:dyDescent="0.25">
      <c r="B947" s="43"/>
      <c r="C947" s="43"/>
      <c r="D947" s="43"/>
      <c r="E947" s="43"/>
      <c r="F947" s="43"/>
    </row>
    <row r="948" spans="2:6" ht="15.75" customHeight="1" x14ac:dyDescent="0.25">
      <c r="B948" s="43"/>
      <c r="C948" s="43"/>
      <c r="D948" s="43"/>
      <c r="E948" s="43"/>
      <c r="F948" s="43"/>
    </row>
    <row r="949" spans="2:6" ht="15.75" customHeight="1" x14ac:dyDescent="0.25">
      <c r="B949" s="43"/>
      <c r="C949" s="43"/>
      <c r="D949" s="43"/>
      <c r="E949" s="43"/>
      <c r="F949" s="43"/>
    </row>
    <row r="950" spans="2:6" ht="15.75" customHeight="1" x14ac:dyDescent="0.25">
      <c r="B950" s="43"/>
      <c r="C950" s="43"/>
      <c r="D950" s="43"/>
      <c r="E950" s="43"/>
      <c r="F950" s="43"/>
    </row>
    <row r="951" spans="2:6" ht="15.75" customHeight="1" x14ac:dyDescent="0.25">
      <c r="B951" s="43"/>
      <c r="C951" s="43"/>
      <c r="D951" s="43"/>
      <c r="E951" s="43"/>
      <c r="F951" s="43"/>
    </row>
    <row r="952" spans="2:6" ht="15.75" customHeight="1" x14ac:dyDescent="0.25">
      <c r="B952" s="43"/>
      <c r="C952" s="43"/>
      <c r="D952" s="43"/>
      <c r="E952" s="43"/>
      <c r="F952" s="43"/>
    </row>
    <row r="953" spans="2:6" ht="15.75" customHeight="1" x14ac:dyDescent="0.25">
      <c r="B953" s="43"/>
      <c r="C953" s="43"/>
      <c r="D953" s="43"/>
      <c r="E953" s="43"/>
      <c r="F953" s="43"/>
    </row>
    <row r="954" spans="2:6" ht="15.75" customHeight="1" x14ac:dyDescent="0.25">
      <c r="B954" s="43"/>
      <c r="C954" s="43"/>
      <c r="D954" s="43"/>
      <c r="E954" s="43"/>
      <c r="F954" s="43"/>
    </row>
    <row r="955" spans="2:6" ht="15.75" customHeight="1" x14ac:dyDescent="0.25">
      <c r="B955" s="43"/>
      <c r="C955" s="43"/>
      <c r="D955" s="43"/>
      <c r="E955" s="43"/>
      <c r="F955" s="43"/>
    </row>
    <row r="956" spans="2:6" ht="15.75" customHeight="1" x14ac:dyDescent="0.25">
      <c r="B956" s="43"/>
      <c r="C956" s="43"/>
      <c r="D956" s="43"/>
      <c r="E956" s="43"/>
      <c r="F956" s="43"/>
    </row>
    <row r="957" spans="2:6" ht="15.75" customHeight="1" x14ac:dyDescent="0.25">
      <c r="B957" s="43"/>
      <c r="C957" s="43"/>
      <c r="D957" s="43"/>
      <c r="E957" s="43"/>
      <c r="F957" s="43"/>
    </row>
    <row r="958" spans="2:6" ht="15.75" customHeight="1" x14ac:dyDescent="0.25">
      <c r="B958" s="43"/>
      <c r="C958" s="43"/>
      <c r="D958" s="43"/>
      <c r="E958" s="43"/>
      <c r="F958" s="43"/>
    </row>
    <row r="959" spans="2:6" ht="15.75" customHeight="1" x14ac:dyDescent="0.25">
      <c r="B959" s="43"/>
      <c r="C959" s="43"/>
      <c r="D959" s="43"/>
      <c r="E959" s="43"/>
      <c r="F959" s="43"/>
    </row>
    <row r="960" spans="2:6" ht="15.75" customHeight="1" x14ac:dyDescent="0.25">
      <c r="B960" s="43"/>
      <c r="C960" s="43"/>
      <c r="D960" s="43"/>
      <c r="E960" s="43"/>
      <c r="F960" s="43"/>
    </row>
    <row r="961" spans="2:6" ht="15.75" customHeight="1" x14ac:dyDescent="0.25">
      <c r="B961" s="43"/>
      <c r="C961" s="43"/>
      <c r="D961" s="43"/>
      <c r="E961" s="43"/>
      <c r="F961" s="43"/>
    </row>
    <row r="962" spans="2:6" ht="15.75" customHeight="1" x14ac:dyDescent="0.25">
      <c r="B962" s="43"/>
      <c r="C962" s="43"/>
      <c r="D962" s="43"/>
      <c r="E962" s="43"/>
      <c r="F962" s="43"/>
    </row>
    <row r="963" spans="2:6" ht="15.75" customHeight="1" x14ac:dyDescent="0.25">
      <c r="B963" s="43"/>
      <c r="C963" s="43"/>
      <c r="D963" s="43"/>
      <c r="E963" s="43"/>
      <c r="F963" s="43"/>
    </row>
    <row r="964" spans="2:6" ht="15.75" customHeight="1" x14ac:dyDescent="0.25">
      <c r="B964" s="43"/>
      <c r="C964" s="43"/>
      <c r="D964" s="43"/>
      <c r="E964" s="43"/>
      <c r="F964" s="43"/>
    </row>
    <row r="965" spans="2:6" ht="15.75" customHeight="1" x14ac:dyDescent="0.25">
      <c r="B965" s="43"/>
      <c r="C965" s="43"/>
      <c r="D965" s="43"/>
      <c r="E965" s="43"/>
      <c r="F965" s="43"/>
    </row>
    <row r="966" spans="2:6" ht="15.75" customHeight="1" x14ac:dyDescent="0.25">
      <c r="B966" s="43"/>
      <c r="C966" s="43"/>
      <c r="D966" s="43"/>
      <c r="E966" s="43"/>
      <c r="F966" s="43"/>
    </row>
    <row r="967" spans="2:6" ht="15.75" customHeight="1" x14ac:dyDescent="0.25">
      <c r="B967" s="43"/>
      <c r="C967" s="43"/>
      <c r="D967" s="43"/>
      <c r="E967" s="43"/>
      <c r="F967" s="43"/>
    </row>
    <row r="968" spans="2:6" ht="15.75" customHeight="1" x14ac:dyDescent="0.25">
      <c r="B968" s="43"/>
      <c r="C968" s="43"/>
      <c r="D968" s="43"/>
      <c r="E968" s="43"/>
      <c r="F968" s="43"/>
    </row>
    <row r="969" spans="2:6" ht="15.75" customHeight="1" x14ac:dyDescent="0.25">
      <c r="B969" s="43"/>
      <c r="C969" s="43"/>
      <c r="D969" s="43"/>
      <c r="E969" s="43"/>
      <c r="F969" s="43"/>
    </row>
    <row r="970" spans="2:6" ht="15.75" customHeight="1" x14ac:dyDescent="0.25">
      <c r="B970" s="43"/>
      <c r="C970" s="43"/>
      <c r="D970" s="43"/>
      <c r="E970" s="43"/>
      <c r="F970" s="43"/>
    </row>
    <row r="971" spans="2:6" ht="15.75" customHeight="1" x14ac:dyDescent="0.25">
      <c r="B971" s="43"/>
      <c r="C971" s="43"/>
      <c r="D971" s="43"/>
      <c r="E971" s="43"/>
      <c r="F971" s="43"/>
    </row>
    <row r="972" spans="2:6" ht="15.75" customHeight="1" x14ac:dyDescent="0.25">
      <c r="B972" s="43"/>
      <c r="C972" s="43"/>
      <c r="D972" s="43"/>
      <c r="E972" s="43"/>
      <c r="F972" s="43"/>
    </row>
    <row r="973" spans="2:6" ht="15.75" customHeight="1" x14ac:dyDescent="0.25">
      <c r="B973" s="43"/>
      <c r="C973" s="43"/>
      <c r="D973" s="43"/>
      <c r="E973" s="43"/>
      <c r="F973" s="43"/>
    </row>
    <row r="974" spans="2:6" ht="15.75" customHeight="1" x14ac:dyDescent="0.25">
      <c r="B974" s="43"/>
      <c r="C974" s="43"/>
      <c r="D974" s="43"/>
      <c r="E974" s="43"/>
      <c r="F974" s="43"/>
    </row>
    <row r="975" spans="2:6" ht="15.75" customHeight="1" x14ac:dyDescent="0.25">
      <c r="B975" s="43"/>
      <c r="C975" s="43"/>
      <c r="D975" s="43"/>
      <c r="E975" s="43"/>
      <c r="F975" s="43"/>
    </row>
    <row r="976" spans="2:6" ht="15.75" customHeight="1" x14ac:dyDescent="0.25">
      <c r="B976" s="43"/>
      <c r="C976" s="43"/>
      <c r="D976" s="43"/>
      <c r="E976" s="43"/>
      <c r="F976" s="43"/>
    </row>
    <row r="977" spans="2:6" ht="15.75" customHeight="1" x14ac:dyDescent="0.25">
      <c r="B977" s="43"/>
      <c r="C977" s="43"/>
      <c r="D977" s="43"/>
      <c r="E977" s="43"/>
      <c r="F977" s="43"/>
    </row>
    <row r="978" spans="2:6" ht="15.75" customHeight="1" x14ac:dyDescent="0.25">
      <c r="B978" s="43"/>
      <c r="C978" s="43"/>
      <c r="D978" s="43"/>
      <c r="E978" s="43"/>
      <c r="F978" s="43"/>
    </row>
    <row r="979" spans="2:6" ht="15.75" customHeight="1" x14ac:dyDescent="0.25">
      <c r="B979" s="43"/>
      <c r="C979" s="43"/>
      <c r="D979" s="43"/>
      <c r="E979" s="43"/>
      <c r="F979" s="43"/>
    </row>
    <row r="980" spans="2:6" ht="15.75" customHeight="1" x14ac:dyDescent="0.25">
      <c r="B980" s="43"/>
      <c r="C980" s="43"/>
      <c r="D980" s="43"/>
      <c r="E980" s="43"/>
      <c r="F980" s="43"/>
    </row>
    <row r="981" spans="2:6" ht="15.75" customHeight="1" x14ac:dyDescent="0.25">
      <c r="B981" s="43"/>
      <c r="C981" s="43"/>
      <c r="D981" s="43"/>
      <c r="E981" s="43"/>
      <c r="F981" s="43"/>
    </row>
    <row r="982" spans="2:6" ht="15.75" customHeight="1" x14ac:dyDescent="0.25">
      <c r="B982" s="43"/>
      <c r="C982" s="43"/>
      <c r="D982" s="43"/>
      <c r="E982" s="43"/>
      <c r="F982" s="43"/>
    </row>
    <row r="983" spans="2:6" ht="15.75" customHeight="1" x14ac:dyDescent="0.25">
      <c r="B983" s="43"/>
      <c r="C983" s="43"/>
      <c r="D983" s="43"/>
      <c r="E983" s="43"/>
      <c r="F983" s="43"/>
    </row>
    <row r="984" spans="2:6" ht="15.75" customHeight="1" x14ac:dyDescent="0.25">
      <c r="B984" s="43"/>
      <c r="C984" s="43"/>
      <c r="D984" s="43"/>
      <c r="E984" s="43"/>
      <c r="F984" s="43"/>
    </row>
    <row r="985" spans="2:6" ht="15.75" customHeight="1" x14ac:dyDescent="0.25">
      <c r="B985" s="43"/>
      <c r="C985" s="43"/>
      <c r="D985" s="43"/>
      <c r="E985" s="43"/>
      <c r="F985" s="43"/>
    </row>
    <row r="986" spans="2:6" ht="15.75" customHeight="1" x14ac:dyDescent="0.25">
      <c r="B986" s="43"/>
      <c r="C986" s="43"/>
      <c r="D986" s="43"/>
      <c r="E986" s="43"/>
      <c r="F986" s="43"/>
    </row>
    <row r="987" spans="2:6" ht="15.75" customHeight="1" x14ac:dyDescent="0.25">
      <c r="B987" s="43"/>
      <c r="C987" s="43"/>
      <c r="D987" s="43"/>
      <c r="E987" s="43"/>
      <c r="F987" s="43"/>
    </row>
    <row r="988" spans="2:6" ht="15.75" customHeight="1" x14ac:dyDescent="0.25">
      <c r="B988" s="43"/>
      <c r="C988" s="43"/>
      <c r="D988" s="43"/>
      <c r="E988" s="43"/>
      <c r="F988" s="43"/>
    </row>
    <row r="989" spans="2:6" ht="15.75" customHeight="1" x14ac:dyDescent="0.25">
      <c r="B989" s="43"/>
      <c r="C989" s="43"/>
      <c r="D989" s="43"/>
      <c r="E989" s="43"/>
      <c r="F989" s="43"/>
    </row>
    <row r="990" spans="2:6" ht="15.75" customHeight="1" x14ac:dyDescent="0.25">
      <c r="B990" s="43"/>
      <c r="C990" s="43"/>
      <c r="D990" s="43"/>
      <c r="E990" s="43"/>
      <c r="F990" s="43"/>
    </row>
    <row r="991" spans="2:6" ht="15.75" customHeight="1" x14ac:dyDescent="0.25">
      <c r="B991" s="43"/>
      <c r="C991" s="43"/>
      <c r="D991" s="43"/>
      <c r="E991" s="43"/>
      <c r="F991" s="43"/>
    </row>
    <row r="992" spans="2:6" ht="15.75" customHeight="1" x14ac:dyDescent="0.25">
      <c r="B992" s="43"/>
      <c r="C992" s="43"/>
      <c r="D992" s="43"/>
      <c r="E992" s="43"/>
      <c r="F992" s="43"/>
    </row>
    <row r="993" spans="2:6" ht="15.75" customHeight="1" x14ac:dyDescent="0.25">
      <c r="B993" s="43"/>
      <c r="C993" s="43"/>
      <c r="D993" s="43"/>
      <c r="E993" s="43"/>
      <c r="F993" s="43"/>
    </row>
    <row r="994" spans="2:6" ht="15.75" customHeight="1" x14ac:dyDescent="0.25">
      <c r="B994" s="43"/>
      <c r="C994" s="43"/>
      <c r="D994" s="43"/>
      <c r="E994" s="43"/>
      <c r="F994" s="43"/>
    </row>
    <row r="995" spans="2:6" ht="15.75" customHeight="1" x14ac:dyDescent="0.25">
      <c r="B995" s="43"/>
      <c r="C995" s="43"/>
      <c r="D995" s="43"/>
      <c r="E995" s="43"/>
      <c r="F995" s="43"/>
    </row>
    <row r="996" spans="2:6" ht="15.75" customHeight="1" x14ac:dyDescent="0.25">
      <c r="B996" s="43"/>
      <c r="C996" s="43"/>
      <c r="D996" s="43"/>
      <c r="E996" s="43"/>
      <c r="F996" s="43"/>
    </row>
    <row r="997" spans="2:6" ht="15.75" customHeight="1" x14ac:dyDescent="0.25">
      <c r="B997" s="43"/>
      <c r="C997" s="43"/>
      <c r="D997" s="43"/>
      <c r="E997" s="43"/>
      <c r="F997" s="43"/>
    </row>
    <row r="998" spans="2:6" ht="15.75" customHeight="1" x14ac:dyDescent="0.25">
      <c r="B998" s="43"/>
      <c r="C998" s="43"/>
      <c r="D998" s="43"/>
      <c r="E998" s="43"/>
      <c r="F998" s="43"/>
    </row>
    <row r="999" spans="2:6" ht="15.75" customHeight="1" x14ac:dyDescent="0.25">
      <c r="B999" s="43"/>
      <c r="C999" s="43"/>
      <c r="D999" s="43"/>
      <c r="E999" s="43"/>
      <c r="F999" s="43"/>
    </row>
    <row r="1000" spans="2:6" ht="15.75" customHeight="1" x14ac:dyDescent="0.25">
      <c r="B1000" s="43"/>
      <c r="C1000" s="43"/>
      <c r="D1000" s="43"/>
      <c r="E1000" s="43"/>
      <c r="F1000" s="4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719"/>
  <sheetViews>
    <sheetView workbookViewId="0">
      <selection activeCell="H19" sqref="H19"/>
    </sheetView>
  </sheetViews>
  <sheetFormatPr defaultColWidth="14.453125" defaultRowHeight="15.75" customHeight="1" x14ac:dyDescent="0.25"/>
  <cols>
    <col min="1" max="1" width="36.81640625" customWidth="1"/>
    <col min="2" max="2" width="11.81640625" customWidth="1"/>
    <col min="3" max="3" width="7.26953125" customWidth="1"/>
    <col min="4" max="6" width="11.81640625" customWidth="1"/>
  </cols>
  <sheetData>
    <row r="1" spans="1:7" ht="14.5" x14ac:dyDescent="0.35">
      <c r="A1" s="174" t="s">
        <v>142</v>
      </c>
      <c r="B1" s="175"/>
      <c r="C1" s="1"/>
      <c r="D1" s="1"/>
      <c r="E1" s="1"/>
      <c r="F1" s="51">
        <f>SUM(E3:E11)</f>
        <v>25728.072916666668</v>
      </c>
    </row>
    <row r="2" spans="1:7" ht="14.5" x14ac:dyDescent="0.35">
      <c r="A2" s="5"/>
      <c r="B2" s="5" t="s">
        <v>2</v>
      </c>
      <c r="C2" s="5"/>
      <c r="D2" s="5" t="s">
        <v>3</v>
      </c>
      <c r="E2" s="5" t="s">
        <v>4</v>
      </c>
      <c r="F2" s="5"/>
    </row>
    <row r="3" spans="1:7" ht="14.5" x14ac:dyDescent="0.35">
      <c r="A3" s="39" t="s">
        <v>81</v>
      </c>
      <c r="B3" s="53">
        <v>0.04</v>
      </c>
      <c r="C3" s="5" t="s">
        <v>7</v>
      </c>
      <c r="D3" s="113">
        <v>140000</v>
      </c>
      <c r="E3" s="52">
        <f t="shared" ref="E3:E11" si="0">B3*D3</f>
        <v>5600</v>
      </c>
      <c r="F3" s="5"/>
    </row>
    <row r="4" spans="1:7" ht="14.5" x14ac:dyDescent="0.35">
      <c r="A4" s="5" t="s">
        <v>85</v>
      </c>
      <c r="B4" s="52">
        <v>1</v>
      </c>
      <c r="C4" s="5" t="s">
        <v>7</v>
      </c>
      <c r="D4" s="10">
        <v>14550</v>
      </c>
      <c r="E4" s="52">
        <f t="shared" si="0"/>
        <v>14550</v>
      </c>
      <c r="F4" s="5"/>
      <c r="G4" s="12" t="s">
        <v>143</v>
      </c>
    </row>
    <row r="5" spans="1:7" ht="14.5" x14ac:dyDescent="0.35">
      <c r="A5" s="5" t="s">
        <v>341</v>
      </c>
      <c r="B5" s="52">
        <v>0.5</v>
      </c>
      <c r="C5" s="5" t="s">
        <v>7</v>
      </c>
      <c r="D5" s="10">
        <v>10000</v>
      </c>
      <c r="E5" s="52">
        <f t="shared" si="0"/>
        <v>5000</v>
      </c>
      <c r="F5" s="5"/>
      <c r="G5" s="12" t="s">
        <v>88</v>
      </c>
    </row>
    <row r="6" spans="1:7" ht="14.5" x14ac:dyDescent="0.35">
      <c r="A6" s="5" t="s">
        <v>89</v>
      </c>
      <c r="B6" s="52">
        <v>0.02</v>
      </c>
      <c r="C6" s="5" t="s">
        <v>119</v>
      </c>
      <c r="D6" s="10">
        <f>'PH Umum 2024'!F37</f>
        <v>28903.645833333332</v>
      </c>
      <c r="E6" s="52">
        <f t="shared" si="0"/>
        <v>578.07291666666663</v>
      </c>
      <c r="F6" s="5"/>
    </row>
    <row r="7" spans="1:7" ht="14.5" x14ac:dyDescent="0.35">
      <c r="A7" s="5"/>
      <c r="B7" s="5"/>
      <c r="C7" s="5"/>
      <c r="D7" s="52">
        <v>0</v>
      </c>
      <c r="E7" s="52">
        <f t="shared" si="0"/>
        <v>0</v>
      </c>
      <c r="F7" s="5"/>
    </row>
    <row r="8" spans="1:7" ht="14.5" x14ac:dyDescent="0.35">
      <c r="A8" s="5"/>
      <c r="B8" s="5"/>
      <c r="C8" s="5"/>
      <c r="D8" s="52">
        <v>0</v>
      </c>
      <c r="E8" s="52">
        <f t="shared" si="0"/>
        <v>0</v>
      </c>
      <c r="F8" s="5"/>
    </row>
    <row r="9" spans="1:7" ht="14.5" x14ac:dyDescent="0.35">
      <c r="A9" s="5"/>
      <c r="B9" s="5"/>
      <c r="C9" s="5"/>
      <c r="D9" s="52">
        <v>0</v>
      </c>
      <c r="E9" s="52">
        <f t="shared" si="0"/>
        <v>0</v>
      </c>
      <c r="F9" s="5"/>
    </row>
    <row r="10" spans="1:7" ht="14.5" x14ac:dyDescent="0.35">
      <c r="A10" s="5"/>
      <c r="B10" s="5"/>
      <c r="C10" s="5"/>
      <c r="D10" s="52">
        <v>0</v>
      </c>
      <c r="E10" s="52">
        <f t="shared" si="0"/>
        <v>0</v>
      </c>
      <c r="F10" s="5"/>
    </row>
    <row r="11" spans="1:7" ht="14.5" x14ac:dyDescent="0.35">
      <c r="A11" s="5"/>
      <c r="B11" s="5"/>
      <c r="C11" s="5"/>
      <c r="D11" s="52">
        <v>0</v>
      </c>
      <c r="E11" s="52">
        <f t="shared" si="0"/>
        <v>0</v>
      </c>
      <c r="F11" s="5"/>
    </row>
    <row r="12" spans="1:7" ht="14.5" x14ac:dyDescent="0.35">
      <c r="A12" s="5"/>
      <c r="B12" s="5"/>
      <c r="C12" s="5"/>
      <c r="D12" s="5"/>
      <c r="E12" s="5"/>
      <c r="F12" s="5"/>
    </row>
    <row r="13" spans="1:7" ht="14.5" x14ac:dyDescent="0.35">
      <c r="A13" s="1" t="s">
        <v>200</v>
      </c>
      <c r="B13" s="1"/>
      <c r="C13" s="1"/>
      <c r="D13" s="1"/>
      <c r="E13" s="1"/>
      <c r="F13" s="51">
        <f>SUM(E15:E23)</f>
        <v>25628.072916666668</v>
      </c>
    </row>
    <row r="14" spans="1:7" ht="14.5" x14ac:dyDescent="0.35">
      <c r="A14" s="5"/>
      <c r="B14" s="5" t="s">
        <v>2</v>
      </c>
      <c r="C14" s="5"/>
      <c r="D14" s="5" t="s">
        <v>3</v>
      </c>
      <c r="E14" s="5" t="s">
        <v>4</v>
      </c>
      <c r="F14" s="5"/>
    </row>
    <row r="15" spans="1:7" ht="14.5" x14ac:dyDescent="0.35">
      <c r="A15" s="57" t="s">
        <v>199</v>
      </c>
      <c r="B15" s="5">
        <v>0.01</v>
      </c>
      <c r="C15" s="5" t="s">
        <v>90</v>
      </c>
      <c r="D15" s="100">
        <v>550000</v>
      </c>
      <c r="E15" s="52">
        <f t="shared" ref="E15:E23" si="1">B15*D15</f>
        <v>5500</v>
      </c>
      <c r="F15" s="5"/>
    </row>
    <row r="16" spans="1:7" ht="14.5" x14ac:dyDescent="0.35">
      <c r="A16" s="5" t="s">
        <v>85</v>
      </c>
      <c r="B16" s="52">
        <v>1</v>
      </c>
      <c r="C16" s="5" t="s">
        <v>7</v>
      </c>
      <c r="D16" s="10">
        <v>14550</v>
      </c>
      <c r="E16" s="52">
        <f t="shared" si="1"/>
        <v>14550</v>
      </c>
      <c r="F16" s="5"/>
    </row>
    <row r="17" spans="1:6" ht="14.5" x14ac:dyDescent="0.35">
      <c r="A17" s="5" t="s">
        <v>341</v>
      </c>
      <c r="B17" s="52">
        <v>0.5</v>
      </c>
      <c r="C17" s="5" t="s">
        <v>7</v>
      </c>
      <c r="D17" s="10">
        <v>10000</v>
      </c>
      <c r="E17" s="52">
        <f t="shared" si="1"/>
        <v>5000</v>
      </c>
      <c r="F17" s="5"/>
    </row>
    <row r="18" spans="1:6" ht="14.5" x14ac:dyDescent="0.35">
      <c r="A18" s="5" t="s">
        <v>89</v>
      </c>
      <c r="B18" s="52">
        <v>0.02</v>
      </c>
      <c r="C18" s="5" t="s">
        <v>119</v>
      </c>
      <c r="D18" s="10">
        <f>'PH Umum 2024'!F37</f>
        <v>28903.645833333332</v>
      </c>
      <c r="E18" s="52">
        <f t="shared" si="1"/>
        <v>578.07291666666663</v>
      </c>
      <c r="F18" s="5"/>
    </row>
    <row r="19" spans="1:6" ht="14.5" x14ac:dyDescent="0.35">
      <c r="A19" s="5"/>
      <c r="B19" s="5"/>
      <c r="C19" s="5" t="s">
        <v>90</v>
      </c>
      <c r="D19" s="5"/>
      <c r="E19" s="52">
        <f t="shared" si="1"/>
        <v>0</v>
      </c>
      <c r="F19" s="5"/>
    </row>
    <row r="20" spans="1:6" ht="14.5" x14ac:dyDescent="0.35">
      <c r="A20" s="5"/>
      <c r="B20" s="5"/>
      <c r="C20" s="5" t="s">
        <v>90</v>
      </c>
      <c r="D20" s="5"/>
      <c r="E20" s="52">
        <f t="shared" si="1"/>
        <v>0</v>
      </c>
      <c r="F20" s="5"/>
    </row>
    <row r="21" spans="1:6" ht="14.5" x14ac:dyDescent="0.35">
      <c r="A21" s="5"/>
      <c r="B21" s="5"/>
      <c r="C21" s="5" t="s">
        <v>90</v>
      </c>
      <c r="D21" s="5"/>
      <c r="E21" s="52">
        <f t="shared" si="1"/>
        <v>0</v>
      </c>
      <c r="F21" s="5"/>
    </row>
    <row r="22" spans="1:6" ht="14.5" x14ac:dyDescent="0.35">
      <c r="A22" s="5"/>
      <c r="B22" s="5"/>
      <c r="C22" s="5" t="s">
        <v>90</v>
      </c>
      <c r="D22" s="5"/>
      <c r="E22" s="52">
        <f t="shared" si="1"/>
        <v>0</v>
      </c>
      <c r="F22" s="5"/>
    </row>
    <row r="23" spans="1:6" ht="14.5" x14ac:dyDescent="0.35">
      <c r="A23" s="5"/>
      <c r="B23" s="5"/>
      <c r="C23" s="5" t="s">
        <v>90</v>
      </c>
      <c r="D23" s="5"/>
      <c r="E23" s="52">
        <f t="shared" si="1"/>
        <v>0</v>
      </c>
      <c r="F23" s="5"/>
    </row>
    <row r="24" spans="1:6" ht="14.5" x14ac:dyDescent="0.35">
      <c r="A24" s="5"/>
      <c r="B24" s="5"/>
      <c r="C24" s="5"/>
      <c r="D24" s="5"/>
      <c r="E24" s="5"/>
      <c r="F24" s="5"/>
    </row>
    <row r="25" spans="1:6" ht="14.5" x14ac:dyDescent="0.35">
      <c r="A25" s="1" t="s">
        <v>309</v>
      </c>
      <c r="B25" s="1"/>
      <c r="C25" s="1"/>
      <c r="D25" s="1"/>
      <c r="E25" s="1"/>
      <c r="F25" s="51">
        <f>SUM(E27:E35)</f>
        <v>36503.072916666664</v>
      </c>
    </row>
    <row r="26" spans="1:6" ht="14.5" x14ac:dyDescent="0.35">
      <c r="A26" s="5"/>
      <c r="B26" s="5" t="s">
        <v>2</v>
      </c>
      <c r="C26" s="5"/>
      <c r="D26" s="5" t="s">
        <v>3</v>
      </c>
      <c r="E26" s="5" t="s">
        <v>4</v>
      </c>
      <c r="F26" s="5"/>
    </row>
    <row r="27" spans="1:6" ht="14.5" x14ac:dyDescent="0.35">
      <c r="A27" s="57" t="s">
        <v>312</v>
      </c>
      <c r="B27" s="5">
        <v>1.4999999999999999E-2</v>
      </c>
      <c r="C27" s="5" t="s">
        <v>90</v>
      </c>
      <c r="D27" s="57">
        <v>195000</v>
      </c>
      <c r="E27" s="52">
        <f t="shared" ref="E27:E30" si="2">B27*D27</f>
        <v>2925</v>
      </c>
      <c r="F27" s="5"/>
    </row>
    <row r="28" spans="1:6" ht="14.5" x14ac:dyDescent="0.35">
      <c r="A28" s="5" t="s">
        <v>310</v>
      </c>
      <c r="B28" s="52">
        <v>1</v>
      </c>
      <c r="C28" s="5" t="s">
        <v>7</v>
      </c>
      <c r="D28" s="53">
        <v>28000</v>
      </c>
      <c r="E28" s="52">
        <f t="shared" si="2"/>
        <v>28000</v>
      </c>
      <c r="F28" s="5"/>
    </row>
    <row r="29" spans="1:6" ht="14.5" x14ac:dyDescent="0.35">
      <c r="A29" s="5" t="s">
        <v>341</v>
      </c>
      <c r="B29" s="52">
        <v>0.5</v>
      </c>
      <c r="C29" s="5" t="s">
        <v>7</v>
      </c>
      <c r="D29" s="10">
        <v>10000</v>
      </c>
      <c r="E29" s="52">
        <f t="shared" si="2"/>
        <v>5000</v>
      </c>
      <c r="F29" s="5"/>
    </row>
    <row r="30" spans="1:6" ht="14.5" x14ac:dyDescent="0.35">
      <c r="A30" s="5" t="s">
        <v>89</v>
      </c>
      <c r="B30" s="52">
        <v>0.02</v>
      </c>
      <c r="C30" s="5" t="s">
        <v>119</v>
      </c>
      <c r="D30" s="10">
        <f>'PH Umum 2024'!F37</f>
        <v>28903.645833333332</v>
      </c>
      <c r="E30" s="52">
        <f t="shared" si="2"/>
        <v>578.07291666666663</v>
      </c>
      <c r="F30" s="5"/>
    </row>
    <row r="31" spans="1:6" ht="14.5" x14ac:dyDescent="0.35">
      <c r="A31" s="5"/>
      <c r="B31" s="5"/>
      <c r="C31" s="5" t="s">
        <v>90</v>
      </c>
      <c r="D31" s="5"/>
      <c r="E31" s="52">
        <f t="shared" ref="E31:E35" si="3">B31*D31</f>
        <v>0</v>
      </c>
      <c r="F31" s="5"/>
    </row>
    <row r="32" spans="1:6" ht="14.5" x14ac:dyDescent="0.35">
      <c r="A32" s="5"/>
      <c r="B32" s="5"/>
      <c r="C32" s="5" t="s">
        <v>90</v>
      </c>
      <c r="D32" s="5"/>
      <c r="E32" s="52">
        <f t="shared" si="3"/>
        <v>0</v>
      </c>
      <c r="F32" s="5"/>
    </row>
    <row r="33" spans="1:6" ht="14.5" x14ac:dyDescent="0.35">
      <c r="A33" s="5"/>
      <c r="B33" s="5"/>
      <c r="C33" s="5" t="s">
        <v>90</v>
      </c>
      <c r="D33" s="5"/>
      <c r="E33" s="52">
        <f t="shared" si="3"/>
        <v>0</v>
      </c>
      <c r="F33" s="5"/>
    </row>
    <row r="34" spans="1:6" ht="14.5" x14ac:dyDescent="0.35">
      <c r="A34" s="5"/>
      <c r="B34" s="5"/>
      <c r="C34" s="5" t="s">
        <v>90</v>
      </c>
      <c r="D34" s="5"/>
      <c r="E34" s="52">
        <f t="shared" si="3"/>
        <v>0</v>
      </c>
      <c r="F34" s="5"/>
    </row>
    <row r="35" spans="1:6" ht="14.5" x14ac:dyDescent="0.35">
      <c r="A35" s="5"/>
      <c r="B35" s="5"/>
      <c r="C35" s="5" t="s">
        <v>90</v>
      </c>
      <c r="D35" s="5"/>
      <c r="E35" s="52">
        <f t="shared" si="3"/>
        <v>0</v>
      </c>
      <c r="F35" s="5"/>
    </row>
    <row r="36" spans="1:6" ht="14.5" x14ac:dyDescent="0.35">
      <c r="A36" s="5"/>
      <c r="B36" s="5"/>
      <c r="C36" s="5"/>
      <c r="D36" s="5"/>
      <c r="E36" s="5"/>
      <c r="F36" s="5"/>
    </row>
    <row r="37" spans="1:6" ht="14.5" x14ac:dyDescent="0.35">
      <c r="A37" s="1" t="s">
        <v>294</v>
      </c>
      <c r="B37" s="1"/>
      <c r="C37" s="1"/>
      <c r="D37" s="1"/>
      <c r="E37" s="1"/>
      <c r="F37" s="51">
        <f>SUM(E39:E47)</f>
        <v>23378.072916666668</v>
      </c>
    </row>
    <row r="38" spans="1:6" ht="14.5" x14ac:dyDescent="0.35">
      <c r="A38" s="5"/>
      <c r="B38" s="5" t="s">
        <v>2</v>
      </c>
      <c r="C38" s="5"/>
      <c r="D38" s="5" t="s">
        <v>3</v>
      </c>
      <c r="E38" s="5" t="s">
        <v>4</v>
      </c>
      <c r="F38" s="5"/>
    </row>
    <row r="39" spans="1:6" ht="14.5" x14ac:dyDescent="0.35">
      <c r="A39" s="57" t="s">
        <v>295</v>
      </c>
      <c r="B39" s="5">
        <v>0.01</v>
      </c>
      <c r="C39" s="5" t="s">
        <v>90</v>
      </c>
      <c r="D39" s="57">
        <v>325000</v>
      </c>
      <c r="E39" s="52">
        <f t="shared" ref="E39:E42" si="4">B39*D39</f>
        <v>3250</v>
      </c>
      <c r="F39" s="5"/>
    </row>
    <row r="40" spans="1:6" ht="14.5" x14ac:dyDescent="0.35">
      <c r="A40" s="5" t="s">
        <v>85</v>
      </c>
      <c r="B40" s="52">
        <v>1</v>
      </c>
      <c r="C40" s="5" t="s">
        <v>7</v>
      </c>
      <c r="D40" s="10">
        <v>14550</v>
      </c>
      <c r="E40" s="52">
        <f t="shared" si="4"/>
        <v>14550</v>
      </c>
      <c r="F40" s="5"/>
    </row>
    <row r="41" spans="1:6" ht="14.5" x14ac:dyDescent="0.35">
      <c r="A41" s="5" t="s">
        <v>341</v>
      </c>
      <c r="B41" s="52">
        <v>0.5</v>
      </c>
      <c r="C41" s="5" t="s">
        <v>7</v>
      </c>
      <c r="D41" s="10">
        <v>10000</v>
      </c>
      <c r="E41" s="52">
        <f t="shared" si="4"/>
        <v>5000</v>
      </c>
      <c r="F41" s="5"/>
    </row>
    <row r="42" spans="1:6" ht="14.5" x14ac:dyDescent="0.35">
      <c r="A42" s="5" t="s">
        <v>89</v>
      </c>
      <c r="B42" s="52">
        <v>0.02</v>
      </c>
      <c r="C42" s="5" t="s">
        <v>119</v>
      </c>
      <c r="D42" s="10">
        <f>'PH Umum 2024'!F37</f>
        <v>28903.645833333332</v>
      </c>
      <c r="E42" s="52">
        <f t="shared" si="4"/>
        <v>578.07291666666663</v>
      </c>
      <c r="F42" s="5"/>
    </row>
    <row r="43" spans="1:6" ht="14.5" x14ac:dyDescent="0.35">
      <c r="A43" s="5"/>
      <c r="B43" s="5"/>
      <c r="C43" s="5" t="s">
        <v>90</v>
      </c>
      <c r="D43" s="5"/>
      <c r="E43" s="52">
        <v>0</v>
      </c>
      <c r="F43" s="5"/>
    </row>
    <row r="44" spans="1:6" ht="14.5" x14ac:dyDescent="0.35">
      <c r="A44" s="5"/>
      <c r="B44" s="5"/>
      <c r="C44" s="5" t="s">
        <v>90</v>
      </c>
      <c r="D44" s="5"/>
      <c r="E44" s="52">
        <v>0</v>
      </c>
      <c r="F44" s="5"/>
    </row>
    <row r="45" spans="1:6" ht="14.5" x14ac:dyDescent="0.35">
      <c r="A45" s="5"/>
      <c r="B45" s="5"/>
      <c r="C45" s="5" t="s">
        <v>90</v>
      </c>
      <c r="D45" s="5"/>
      <c r="E45" s="52">
        <v>0</v>
      </c>
      <c r="F45" s="5"/>
    </row>
    <row r="46" spans="1:6" ht="14.5" x14ac:dyDescent="0.35">
      <c r="A46" s="5"/>
      <c r="B46" s="5"/>
      <c r="C46" s="5" t="s">
        <v>90</v>
      </c>
      <c r="D46" s="5"/>
      <c r="E46" s="52">
        <v>0</v>
      </c>
      <c r="F46" s="5"/>
    </row>
    <row r="47" spans="1:6" ht="14.5" x14ac:dyDescent="0.35">
      <c r="A47" s="5"/>
      <c r="B47" s="5"/>
      <c r="C47" s="5" t="s">
        <v>90</v>
      </c>
      <c r="D47" s="5"/>
      <c r="E47" s="52">
        <v>0</v>
      </c>
      <c r="F47" s="5"/>
    </row>
    <row r="48" spans="1:6" ht="14.5" x14ac:dyDescent="0.35">
      <c r="A48" s="5"/>
      <c r="B48" s="5"/>
      <c r="C48" s="5"/>
      <c r="D48" s="5"/>
      <c r="E48" s="5"/>
      <c r="F48" s="5"/>
    </row>
    <row r="49" spans="1:6" ht="14.5" x14ac:dyDescent="0.35">
      <c r="A49" s="55" t="s">
        <v>144</v>
      </c>
      <c r="B49" s="1"/>
      <c r="C49" s="1"/>
      <c r="D49" s="1"/>
      <c r="E49" s="1"/>
      <c r="F49" s="51">
        <f>SUM(E51:E59)</f>
        <v>6178.072916666667</v>
      </c>
    </row>
    <row r="50" spans="1:6" ht="14.5" x14ac:dyDescent="0.35">
      <c r="A50" s="5"/>
      <c r="B50" s="5" t="s">
        <v>2</v>
      </c>
      <c r="C50" s="5"/>
      <c r="D50" s="5" t="s">
        <v>3</v>
      </c>
      <c r="E50" s="5" t="s">
        <v>4</v>
      </c>
      <c r="F50" s="5"/>
    </row>
    <row r="51" spans="1:6" ht="14.5" x14ac:dyDescent="0.35">
      <c r="A51" s="39" t="s">
        <v>145</v>
      </c>
      <c r="B51" s="53">
        <v>0.01</v>
      </c>
      <c r="C51" s="5" t="s">
        <v>7</v>
      </c>
      <c r="D51" s="115">
        <v>550000</v>
      </c>
      <c r="E51" s="115">
        <f t="shared" ref="E51:E59" si="5">B51*D51</f>
        <v>5500</v>
      </c>
      <c r="F51" s="5"/>
    </row>
    <row r="52" spans="1:6" ht="14.5" x14ac:dyDescent="0.35">
      <c r="A52" s="5" t="s">
        <v>118</v>
      </c>
      <c r="B52" s="52">
        <v>1</v>
      </c>
      <c r="C52" s="5" t="s">
        <v>7</v>
      </c>
      <c r="D52" s="115">
        <v>100</v>
      </c>
      <c r="E52" s="115">
        <f t="shared" si="5"/>
        <v>100</v>
      </c>
      <c r="F52" s="5"/>
    </row>
    <row r="53" spans="1:6" ht="15.75" customHeight="1" x14ac:dyDescent="0.55000000000000004">
      <c r="A53" s="5" t="s">
        <v>89</v>
      </c>
      <c r="B53" s="52">
        <v>0.02</v>
      </c>
      <c r="C53" s="5" t="s">
        <v>119</v>
      </c>
      <c r="D53" s="119">
        <f>'PH Umum 2024'!F37</f>
        <v>28903.645833333332</v>
      </c>
      <c r="E53" s="115">
        <f t="shared" si="5"/>
        <v>578.07291666666663</v>
      </c>
      <c r="F53" s="5"/>
    </row>
    <row r="54" spans="1:6" ht="14.5" x14ac:dyDescent="0.35">
      <c r="A54" s="5"/>
      <c r="B54" s="5"/>
      <c r="C54" s="5"/>
      <c r="D54" s="5"/>
      <c r="E54" s="52">
        <f t="shared" si="5"/>
        <v>0</v>
      </c>
      <c r="F54" s="5"/>
    </row>
    <row r="55" spans="1:6" ht="14.5" x14ac:dyDescent="0.35">
      <c r="A55" s="5"/>
      <c r="B55" s="5"/>
      <c r="C55" s="5"/>
      <c r="D55" s="5"/>
      <c r="E55" s="52">
        <f t="shared" si="5"/>
        <v>0</v>
      </c>
      <c r="F55" s="5"/>
    </row>
    <row r="56" spans="1:6" ht="14.5" x14ac:dyDescent="0.35">
      <c r="A56" s="5"/>
      <c r="B56" s="5"/>
      <c r="C56" s="5"/>
      <c r="D56" s="5"/>
      <c r="E56" s="52">
        <f t="shared" si="5"/>
        <v>0</v>
      </c>
      <c r="F56" s="5"/>
    </row>
    <row r="57" spans="1:6" ht="14.5" x14ac:dyDescent="0.35">
      <c r="A57" s="5"/>
      <c r="B57" s="5"/>
      <c r="C57" s="5"/>
      <c r="D57" s="5"/>
      <c r="E57" s="52">
        <f t="shared" si="5"/>
        <v>0</v>
      </c>
      <c r="F57" s="5"/>
    </row>
    <row r="58" spans="1:6" ht="14.5" x14ac:dyDescent="0.35">
      <c r="A58" s="5"/>
      <c r="B58" s="5"/>
      <c r="C58" s="5"/>
      <c r="D58" s="5"/>
      <c r="E58" s="52">
        <f t="shared" si="5"/>
        <v>0</v>
      </c>
      <c r="F58" s="5"/>
    </row>
    <row r="59" spans="1:6" ht="14.5" x14ac:dyDescent="0.35">
      <c r="A59" s="5"/>
      <c r="B59" s="5"/>
      <c r="C59" s="5"/>
      <c r="D59" s="5"/>
      <c r="E59" s="52">
        <f t="shared" si="5"/>
        <v>0</v>
      </c>
      <c r="F59" s="5"/>
    </row>
    <row r="60" spans="1:6" ht="14.5" x14ac:dyDescent="0.35">
      <c r="A60" s="5"/>
      <c r="B60" s="5"/>
      <c r="C60" s="5"/>
      <c r="D60" s="5"/>
      <c r="E60" s="5"/>
      <c r="F60" s="5"/>
    </row>
    <row r="61" spans="1:6" ht="14.5" x14ac:dyDescent="0.35">
      <c r="A61" s="55" t="s">
        <v>297</v>
      </c>
      <c r="B61" s="1"/>
      <c r="C61" s="1"/>
      <c r="D61" s="1"/>
      <c r="E61" s="1"/>
      <c r="F61" s="51">
        <f>SUM(E63:E71)</f>
        <v>3928.0729166666665</v>
      </c>
    </row>
    <row r="62" spans="1:6" ht="14.5" x14ac:dyDescent="0.35">
      <c r="A62" s="5"/>
      <c r="B62" s="5" t="s">
        <v>2</v>
      </c>
      <c r="C62" s="5"/>
      <c r="D62" s="5" t="s">
        <v>3</v>
      </c>
      <c r="E62" s="5" t="s">
        <v>4</v>
      </c>
      <c r="F62" s="5"/>
    </row>
    <row r="63" spans="1:6" ht="14.5" x14ac:dyDescent="0.35">
      <c r="A63" s="39" t="s">
        <v>296</v>
      </c>
      <c r="B63" s="53">
        <v>0.01</v>
      </c>
      <c r="C63" s="5" t="s">
        <v>7</v>
      </c>
      <c r="D63" s="52">
        <v>325000</v>
      </c>
      <c r="E63" s="52">
        <f t="shared" ref="E63:E65" si="6">B63*D63</f>
        <v>3250</v>
      </c>
      <c r="F63" s="5"/>
    </row>
    <row r="64" spans="1:6" ht="14.5" x14ac:dyDescent="0.35">
      <c r="A64" s="5" t="s">
        <v>118</v>
      </c>
      <c r="B64" s="52">
        <v>1</v>
      </c>
      <c r="C64" s="5" t="s">
        <v>7</v>
      </c>
      <c r="D64" s="52">
        <v>100</v>
      </c>
      <c r="E64" s="52">
        <f t="shared" si="6"/>
        <v>100</v>
      </c>
      <c r="F64" s="5"/>
    </row>
    <row r="65" spans="1:6" ht="15.75" customHeight="1" x14ac:dyDescent="0.55000000000000004">
      <c r="A65" s="5" t="s">
        <v>89</v>
      </c>
      <c r="B65" s="52">
        <v>0.02</v>
      </c>
      <c r="C65" s="5" t="s">
        <v>119</v>
      </c>
      <c r="D65" s="101">
        <f>'PH Umum 2024'!F37</f>
        <v>28903.645833333332</v>
      </c>
      <c r="E65" s="52">
        <f t="shared" si="6"/>
        <v>578.07291666666663</v>
      </c>
      <c r="F65" s="5"/>
    </row>
    <row r="66" spans="1:6" ht="14.5" x14ac:dyDescent="0.35">
      <c r="A66" s="5"/>
      <c r="B66" s="5"/>
      <c r="C66" s="5" t="s">
        <v>90</v>
      </c>
      <c r="D66" s="5"/>
      <c r="E66" s="52">
        <f t="shared" ref="E66:E71" si="7">B66*D66</f>
        <v>0</v>
      </c>
      <c r="F66" s="5"/>
    </row>
    <row r="67" spans="1:6" ht="14.5" x14ac:dyDescent="0.35">
      <c r="A67" s="5"/>
      <c r="B67" s="5"/>
      <c r="C67" s="5" t="s">
        <v>90</v>
      </c>
      <c r="D67" s="5"/>
      <c r="E67" s="52">
        <f t="shared" si="7"/>
        <v>0</v>
      </c>
      <c r="F67" s="5"/>
    </row>
    <row r="68" spans="1:6" ht="14.5" x14ac:dyDescent="0.35">
      <c r="A68" s="5"/>
      <c r="B68" s="5"/>
      <c r="C68" s="5" t="s">
        <v>90</v>
      </c>
      <c r="D68" s="5"/>
      <c r="E68" s="52">
        <f t="shared" si="7"/>
        <v>0</v>
      </c>
      <c r="F68" s="5"/>
    </row>
    <row r="69" spans="1:6" ht="14.5" x14ac:dyDescent="0.35">
      <c r="A69" s="5"/>
      <c r="B69" s="5"/>
      <c r="C69" s="5" t="s">
        <v>90</v>
      </c>
      <c r="D69" s="5"/>
      <c r="E69" s="52">
        <f t="shared" si="7"/>
        <v>0</v>
      </c>
      <c r="F69" s="5"/>
    </row>
    <row r="70" spans="1:6" ht="14.5" x14ac:dyDescent="0.35">
      <c r="A70" s="5"/>
      <c r="B70" s="5"/>
      <c r="C70" s="5" t="s">
        <v>90</v>
      </c>
      <c r="D70" s="5"/>
      <c r="E70" s="52">
        <f t="shared" si="7"/>
        <v>0</v>
      </c>
      <c r="F70" s="5"/>
    </row>
    <row r="71" spans="1:6" ht="14.5" x14ac:dyDescent="0.35">
      <c r="A71" s="5"/>
      <c r="B71" s="5"/>
      <c r="C71" s="5" t="s">
        <v>90</v>
      </c>
      <c r="D71" s="5"/>
      <c r="E71" s="52">
        <f t="shared" si="7"/>
        <v>0</v>
      </c>
      <c r="F71" s="5"/>
    </row>
    <row r="72" spans="1:6" ht="14.5" x14ac:dyDescent="0.35">
      <c r="A72" s="5"/>
      <c r="B72" s="5"/>
      <c r="C72" s="5"/>
      <c r="D72" s="5"/>
      <c r="E72" s="5"/>
      <c r="F72" s="5"/>
    </row>
    <row r="73" spans="1:6" ht="14.5" x14ac:dyDescent="0.35">
      <c r="A73" s="1" t="s">
        <v>122</v>
      </c>
      <c r="B73" s="1"/>
      <c r="C73" s="1"/>
      <c r="D73" s="1"/>
      <c r="E73" s="1"/>
      <c r="F73" s="51">
        <f>SUM(E75:E83)</f>
        <v>0</v>
      </c>
    </row>
    <row r="74" spans="1:6" ht="14.5" x14ac:dyDescent="0.35">
      <c r="A74" s="5"/>
      <c r="B74" s="5" t="s">
        <v>2</v>
      </c>
      <c r="C74" s="5"/>
      <c r="D74" s="5" t="s">
        <v>3</v>
      </c>
      <c r="E74" s="5" t="s">
        <v>4</v>
      </c>
      <c r="F74" s="5"/>
    </row>
    <row r="75" spans="1:6" ht="14.5" x14ac:dyDescent="0.35">
      <c r="A75" s="5"/>
      <c r="B75" s="5"/>
      <c r="C75" s="5" t="s">
        <v>90</v>
      </c>
      <c r="D75" s="5"/>
      <c r="E75" s="52">
        <f t="shared" ref="E75:E83" si="8">B75*D75</f>
        <v>0</v>
      </c>
      <c r="F75" s="5"/>
    </row>
    <row r="76" spans="1:6" ht="14.5" x14ac:dyDescent="0.35">
      <c r="A76" s="5"/>
      <c r="B76" s="5"/>
      <c r="C76" s="5" t="s">
        <v>90</v>
      </c>
      <c r="D76" s="5"/>
      <c r="E76" s="52">
        <f t="shared" si="8"/>
        <v>0</v>
      </c>
      <c r="F76" s="5"/>
    </row>
    <row r="77" spans="1:6" ht="14.5" x14ac:dyDescent="0.35">
      <c r="A77" s="5"/>
      <c r="B77" s="5"/>
      <c r="C77" s="5" t="s">
        <v>90</v>
      </c>
      <c r="D77" s="5"/>
      <c r="E77" s="52">
        <f t="shared" si="8"/>
        <v>0</v>
      </c>
      <c r="F77" s="5"/>
    </row>
    <row r="78" spans="1:6" ht="14.5" x14ac:dyDescent="0.35">
      <c r="A78" s="5"/>
      <c r="B78" s="5"/>
      <c r="C78" s="5" t="s">
        <v>90</v>
      </c>
      <c r="D78" s="5"/>
      <c r="E78" s="52">
        <f t="shared" si="8"/>
        <v>0</v>
      </c>
      <c r="F78" s="5"/>
    </row>
    <row r="79" spans="1:6" ht="14.5" x14ac:dyDescent="0.35">
      <c r="A79" s="5"/>
      <c r="B79" s="5"/>
      <c r="C79" s="5" t="s">
        <v>90</v>
      </c>
      <c r="D79" s="5"/>
      <c r="E79" s="52">
        <f t="shared" si="8"/>
        <v>0</v>
      </c>
      <c r="F79" s="5"/>
    </row>
    <row r="80" spans="1:6" ht="14.5" x14ac:dyDescent="0.35">
      <c r="A80" s="5"/>
      <c r="B80" s="5"/>
      <c r="C80" s="5" t="s">
        <v>90</v>
      </c>
      <c r="D80" s="5"/>
      <c r="E80" s="52">
        <f t="shared" si="8"/>
        <v>0</v>
      </c>
      <c r="F80" s="5"/>
    </row>
    <row r="81" spans="1:6" ht="14.5" x14ac:dyDescent="0.35">
      <c r="A81" s="5"/>
      <c r="B81" s="5"/>
      <c r="C81" s="5" t="s">
        <v>90</v>
      </c>
      <c r="D81" s="5"/>
      <c r="E81" s="52">
        <f t="shared" si="8"/>
        <v>0</v>
      </c>
      <c r="F81" s="5"/>
    </row>
    <row r="82" spans="1:6" ht="14.5" x14ac:dyDescent="0.35">
      <c r="A82" s="5"/>
      <c r="B82" s="5"/>
      <c r="C82" s="5" t="s">
        <v>90</v>
      </c>
      <c r="D82" s="5"/>
      <c r="E82" s="52">
        <f t="shared" si="8"/>
        <v>0</v>
      </c>
      <c r="F82" s="5"/>
    </row>
    <row r="83" spans="1:6" ht="14.5" x14ac:dyDescent="0.35">
      <c r="A83" s="5"/>
      <c r="B83" s="5"/>
      <c r="C83" s="5" t="s">
        <v>90</v>
      </c>
      <c r="D83" s="5"/>
      <c r="E83" s="52">
        <f t="shared" si="8"/>
        <v>0</v>
      </c>
      <c r="F83" s="5"/>
    </row>
    <row r="84" spans="1:6" ht="14.5" x14ac:dyDescent="0.35">
      <c r="A84" s="5"/>
      <c r="B84" s="5"/>
      <c r="C84" s="5"/>
      <c r="D84" s="5"/>
      <c r="E84" s="5"/>
      <c r="F84" s="5"/>
    </row>
    <row r="85" spans="1:6" ht="14.5" x14ac:dyDescent="0.35">
      <c r="A85" s="174" t="s">
        <v>302</v>
      </c>
      <c r="B85" s="175"/>
      <c r="C85" s="1"/>
      <c r="D85" s="1"/>
      <c r="E85" s="1"/>
      <c r="F85" s="51">
        <f>SUM(E87:E95)</f>
        <v>8178.072916666667</v>
      </c>
    </row>
    <row r="86" spans="1:6" ht="14.5" x14ac:dyDescent="0.35">
      <c r="A86" s="5"/>
      <c r="B86" s="5" t="s">
        <v>2</v>
      </c>
      <c r="C86" s="5"/>
      <c r="D86" s="5" t="s">
        <v>3</v>
      </c>
      <c r="E86" s="5" t="s">
        <v>4</v>
      </c>
      <c r="F86" s="5"/>
    </row>
    <row r="87" spans="1:6" ht="14.5" x14ac:dyDescent="0.35">
      <c r="A87" s="39" t="s">
        <v>302</v>
      </c>
      <c r="B87" s="52">
        <v>0.01</v>
      </c>
      <c r="C87" s="5" t="s">
        <v>7</v>
      </c>
      <c r="D87" s="53">
        <v>750000</v>
      </c>
      <c r="E87" s="52">
        <f t="shared" ref="E87:E89" si="9">B87*D87</f>
        <v>7500</v>
      </c>
      <c r="F87" s="5"/>
    </row>
    <row r="88" spans="1:6" ht="14.5" x14ac:dyDescent="0.35">
      <c r="A88" s="5" t="s">
        <v>118</v>
      </c>
      <c r="B88" s="52">
        <v>1</v>
      </c>
      <c r="C88" s="5" t="s">
        <v>7</v>
      </c>
      <c r="D88" s="52">
        <v>100</v>
      </c>
      <c r="E88" s="52">
        <f t="shared" si="9"/>
        <v>100</v>
      </c>
      <c r="F88" s="5"/>
    </row>
    <row r="89" spans="1:6" ht="15.75" customHeight="1" x14ac:dyDescent="0.55000000000000004">
      <c r="A89" s="5" t="s">
        <v>89</v>
      </c>
      <c r="B89" s="52">
        <v>0.02</v>
      </c>
      <c r="C89" s="5" t="s">
        <v>119</v>
      </c>
      <c r="D89" s="54">
        <f>'PH Umum 2024'!F37</f>
        <v>28903.645833333332</v>
      </c>
      <c r="E89" s="52">
        <f t="shared" si="9"/>
        <v>578.07291666666663</v>
      </c>
      <c r="F89" s="5"/>
    </row>
    <row r="90" spans="1:6" ht="14.5" x14ac:dyDescent="0.35">
      <c r="A90" s="5"/>
      <c r="B90" s="5"/>
      <c r="C90" s="5" t="s">
        <v>90</v>
      </c>
      <c r="D90" s="5"/>
      <c r="E90" s="52">
        <f t="shared" ref="E90:E95" si="10">B90*D90</f>
        <v>0</v>
      </c>
      <c r="F90" s="5"/>
    </row>
    <row r="91" spans="1:6" ht="14.5" x14ac:dyDescent="0.35">
      <c r="A91" s="5"/>
      <c r="B91" s="5"/>
      <c r="C91" s="5" t="s">
        <v>90</v>
      </c>
      <c r="D91" s="5"/>
      <c r="E91" s="52">
        <f t="shared" si="10"/>
        <v>0</v>
      </c>
      <c r="F91" s="5"/>
    </row>
    <row r="92" spans="1:6" ht="14.5" x14ac:dyDescent="0.35">
      <c r="A92" s="5"/>
      <c r="B92" s="5"/>
      <c r="C92" s="5" t="s">
        <v>90</v>
      </c>
      <c r="D92" s="5"/>
      <c r="E92" s="52">
        <f t="shared" si="10"/>
        <v>0</v>
      </c>
      <c r="F92" s="5"/>
    </row>
    <row r="93" spans="1:6" ht="14.5" x14ac:dyDescent="0.35">
      <c r="A93" s="5"/>
      <c r="B93" s="5"/>
      <c r="C93" s="5" t="s">
        <v>90</v>
      </c>
      <c r="D93" s="5"/>
      <c r="E93" s="52">
        <f t="shared" si="10"/>
        <v>0</v>
      </c>
      <c r="F93" s="5"/>
    </row>
    <row r="94" spans="1:6" ht="14.5" x14ac:dyDescent="0.35">
      <c r="A94" s="5"/>
      <c r="B94" s="5"/>
      <c r="C94" s="5" t="s">
        <v>90</v>
      </c>
      <c r="D94" s="5"/>
      <c r="E94" s="52">
        <f t="shared" si="10"/>
        <v>0</v>
      </c>
      <c r="F94" s="5"/>
    </row>
    <row r="95" spans="1:6" ht="14.5" x14ac:dyDescent="0.35">
      <c r="A95" s="5"/>
      <c r="B95" s="5"/>
      <c r="C95" s="5" t="s">
        <v>90</v>
      </c>
      <c r="D95" s="5"/>
      <c r="E95" s="52">
        <f t="shared" si="10"/>
        <v>0</v>
      </c>
      <c r="F95" s="5"/>
    </row>
    <row r="96" spans="1:6" ht="14.5" x14ac:dyDescent="0.35">
      <c r="A96" s="5"/>
      <c r="B96" s="5"/>
      <c r="C96" s="5"/>
      <c r="D96" s="5"/>
      <c r="E96" s="5"/>
      <c r="F96" s="5"/>
    </row>
    <row r="97" spans="1:6" ht="14.5" x14ac:dyDescent="0.35">
      <c r="A97" s="174" t="s">
        <v>146</v>
      </c>
      <c r="B97" s="175"/>
      <c r="C97" s="1"/>
      <c r="D97" s="1"/>
      <c r="E97" s="1"/>
      <c r="F97" s="51">
        <f>SUM(E99:E107)</f>
        <v>4678.072916666667</v>
      </c>
    </row>
    <row r="98" spans="1:6" ht="14.5" x14ac:dyDescent="0.35">
      <c r="A98" s="5"/>
      <c r="B98" s="5" t="s">
        <v>2</v>
      </c>
      <c r="C98" s="5"/>
      <c r="D98" s="5" t="s">
        <v>3</v>
      </c>
      <c r="E98" s="5" t="s">
        <v>4</v>
      </c>
      <c r="F98" s="5"/>
    </row>
    <row r="99" spans="1:6" ht="14.5" x14ac:dyDescent="0.35">
      <c r="A99" s="39" t="s">
        <v>147</v>
      </c>
      <c r="B99" s="52">
        <v>0.01</v>
      </c>
      <c r="C99" s="5" t="s">
        <v>7</v>
      </c>
      <c r="D99" s="53">
        <v>400000</v>
      </c>
      <c r="E99" s="52">
        <f t="shared" ref="E99:E107" si="11">B99*D99</f>
        <v>4000</v>
      </c>
      <c r="F99" s="5"/>
    </row>
    <row r="100" spans="1:6" ht="14.5" x14ac:dyDescent="0.35">
      <c r="A100" s="5" t="s">
        <v>118</v>
      </c>
      <c r="B100" s="52">
        <v>1</v>
      </c>
      <c r="C100" s="5" t="s">
        <v>7</v>
      </c>
      <c r="D100" s="52">
        <v>100</v>
      </c>
      <c r="E100" s="52">
        <f t="shared" si="11"/>
        <v>100</v>
      </c>
      <c r="F100" s="5"/>
    </row>
    <row r="101" spans="1:6" ht="15.75" customHeight="1" x14ac:dyDescent="0.55000000000000004">
      <c r="A101" s="5" t="s">
        <v>89</v>
      </c>
      <c r="B101" s="52">
        <v>0.02</v>
      </c>
      <c r="C101" s="5" t="s">
        <v>119</v>
      </c>
      <c r="D101" s="54">
        <f>'PH Umum 2024'!F37</f>
        <v>28903.645833333332</v>
      </c>
      <c r="E101" s="52">
        <f t="shared" si="11"/>
        <v>578.07291666666663</v>
      </c>
      <c r="F101" s="5"/>
    </row>
    <row r="102" spans="1:6" ht="14.5" x14ac:dyDescent="0.35">
      <c r="A102" s="5"/>
      <c r="B102" s="5"/>
      <c r="C102" s="5"/>
      <c r="D102" s="5"/>
      <c r="E102" s="52">
        <f t="shared" si="11"/>
        <v>0</v>
      </c>
      <c r="F102" s="5"/>
    </row>
    <row r="103" spans="1:6" ht="14.5" x14ac:dyDescent="0.35">
      <c r="A103" s="5"/>
      <c r="B103" s="5"/>
      <c r="C103" s="5"/>
      <c r="D103" s="5"/>
      <c r="E103" s="52">
        <f t="shared" si="11"/>
        <v>0</v>
      </c>
      <c r="F103" s="5"/>
    </row>
    <row r="104" spans="1:6" ht="14.5" x14ac:dyDescent="0.35">
      <c r="A104" s="5"/>
      <c r="B104" s="5"/>
      <c r="C104" s="5"/>
      <c r="D104" s="5"/>
      <c r="E104" s="52">
        <f t="shared" si="11"/>
        <v>0</v>
      </c>
      <c r="F104" s="5"/>
    </row>
    <row r="105" spans="1:6" ht="14.5" x14ac:dyDescent="0.35">
      <c r="A105" s="5"/>
      <c r="B105" s="5"/>
      <c r="C105" s="5"/>
      <c r="D105" s="5"/>
      <c r="E105" s="52">
        <f t="shared" si="11"/>
        <v>0</v>
      </c>
      <c r="F105" s="5"/>
    </row>
    <row r="106" spans="1:6" ht="14.5" x14ac:dyDescent="0.35">
      <c r="A106" s="5"/>
      <c r="B106" s="5"/>
      <c r="C106" s="5"/>
      <c r="D106" s="5"/>
      <c r="E106" s="52">
        <f t="shared" si="11"/>
        <v>0</v>
      </c>
      <c r="F106" s="5"/>
    </row>
    <row r="107" spans="1:6" ht="14.5" x14ac:dyDescent="0.35">
      <c r="A107" s="5"/>
      <c r="B107" s="5"/>
      <c r="C107" s="5"/>
      <c r="D107" s="5"/>
      <c r="E107" s="52">
        <f t="shared" si="11"/>
        <v>0</v>
      </c>
      <c r="F107" s="5"/>
    </row>
    <row r="108" spans="1:6" ht="14.5" x14ac:dyDescent="0.35">
      <c r="A108" s="5"/>
      <c r="B108" s="5"/>
      <c r="C108" s="5"/>
      <c r="D108" s="5"/>
      <c r="E108" s="5"/>
      <c r="F108" s="5"/>
    </row>
    <row r="109" spans="1:6" ht="14.5" x14ac:dyDescent="0.35">
      <c r="A109" s="102" t="s">
        <v>311</v>
      </c>
      <c r="B109" s="1"/>
      <c r="C109" s="1"/>
      <c r="D109" s="1"/>
      <c r="E109" s="1"/>
      <c r="F109" s="51">
        <f>SUM(E111:E119)</f>
        <v>3603.0729166666665</v>
      </c>
    </row>
    <row r="110" spans="1:6" ht="14.5" x14ac:dyDescent="0.35">
      <c r="A110" s="5"/>
      <c r="B110" s="5" t="s">
        <v>2</v>
      </c>
      <c r="C110" s="5"/>
      <c r="D110" s="5" t="s">
        <v>3</v>
      </c>
      <c r="E110" s="5" t="s">
        <v>4</v>
      </c>
      <c r="F110" s="5"/>
    </row>
    <row r="111" spans="1:6" ht="14.5" x14ac:dyDescent="0.35">
      <c r="A111" s="39" t="s">
        <v>312</v>
      </c>
      <c r="B111" s="52">
        <v>1.4999999999999999E-2</v>
      </c>
      <c r="C111" s="5" t="s">
        <v>2</v>
      </c>
      <c r="D111" s="53">
        <v>195000</v>
      </c>
      <c r="E111" s="52">
        <f t="shared" ref="E111:E119" si="12">B111*D111</f>
        <v>2925</v>
      </c>
      <c r="F111" s="5"/>
    </row>
    <row r="112" spans="1:6" ht="14.5" x14ac:dyDescent="0.35">
      <c r="A112" s="5" t="s">
        <v>118</v>
      </c>
      <c r="B112" s="52">
        <v>1</v>
      </c>
      <c r="C112" s="5" t="s">
        <v>7</v>
      </c>
      <c r="D112" s="52">
        <v>100</v>
      </c>
      <c r="E112" s="52">
        <f t="shared" si="12"/>
        <v>100</v>
      </c>
      <c r="F112" s="5"/>
    </row>
    <row r="113" spans="1:6" ht="15.75" customHeight="1" x14ac:dyDescent="0.55000000000000004">
      <c r="A113" s="5" t="s">
        <v>89</v>
      </c>
      <c r="B113" s="52">
        <v>0.02</v>
      </c>
      <c r="C113" s="5" t="s">
        <v>119</v>
      </c>
      <c r="D113" s="54">
        <f>'PH Umum 2024'!F37</f>
        <v>28903.645833333332</v>
      </c>
      <c r="E113" s="52">
        <f t="shared" si="12"/>
        <v>578.07291666666663</v>
      </c>
      <c r="F113" s="5"/>
    </row>
    <row r="114" spans="1:6" ht="14.5" x14ac:dyDescent="0.35">
      <c r="A114" s="5"/>
      <c r="B114" s="5"/>
      <c r="C114" s="5"/>
      <c r="D114" s="5"/>
      <c r="E114" s="52">
        <f t="shared" si="12"/>
        <v>0</v>
      </c>
      <c r="F114" s="5"/>
    </row>
    <row r="115" spans="1:6" ht="14.5" x14ac:dyDescent="0.35">
      <c r="A115" s="5"/>
      <c r="B115" s="5"/>
      <c r="C115" s="5"/>
      <c r="D115" s="5"/>
      <c r="E115" s="52">
        <f t="shared" si="12"/>
        <v>0</v>
      </c>
      <c r="F115" s="5"/>
    </row>
    <row r="116" spans="1:6" ht="14.5" x14ac:dyDescent="0.35">
      <c r="A116" s="5"/>
      <c r="B116" s="5"/>
      <c r="C116" s="5"/>
      <c r="D116" s="5"/>
      <c r="E116" s="52">
        <f t="shared" si="12"/>
        <v>0</v>
      </c>
      <c r="F116" s="5"/>
    </row>
    <row r="117" spans="1:6" ht="14.5" x14ac:dyDescent="0.35">
      <c r="A117" s="5"/>
      <c r="B117" s="5"/>
      <c r="C117" s="5"/>
      <c r="D117" s="5"/>
      <c r="E117" s="52">
        <f t="shared" si="12"/>
        <v>0</v>
      </c>
      <c r="F117" s="5"/>
    </row>
    <row r="118" spans="1:6" ht="14.5" x14ac:dyDescent="0.35">
      <c r="A118" s="5"/>
      <c r="B118" s="5"/>
      <c r="C118" s="5"/>
      <c r="D118" s="5"/>
      <c r="E118" s="52">
        <f t="shared" si="12"/>
        <v>0</v>
      </c>
      <c r="F118" s="5"/>
    </row>
    <row r="119" spans="1:6" ht="14.5" x14ac:dyDescent="0.35">
      <c r="A119" s="5"/>
      <c r="B119" s="5"/>
      <c r="C119" s="5"/>
      <c r="D119" s="5"/>
      <c r="E119" s="52">
        <f t="shared" si="12"/>
        <v>0</v>
      </c>
      <c r="F119" s="5"/>
    </row>
    <row r="120" spans="1:6" ht="14.5" x14ac:dyDescent="0.35">
      <c r="A120" s="5"/>
      <c r="B120" s="5"/>
      <c r="C120" s="5"/>
      <c r="D120" s="5"/>
      <c r="E120" s="5"/>
      <c r="F120" s="5"/>
    </row>
    <row r="121" spans="1:6" ht="14.5" x14ac:dyDescent="0.35">
      <c r="A121" s="1" t="s">
        <v>148</v>
      </c>
      <c r="B121" s="1"/>
      <c r="C121" s="1"/>
      <c r="D121" s="1"/>
      <c r="E121" s="1"/>
      <c r="F121" s="51">
        <f>SUM(E123:E131)</f>
        <v>13878.072916666666</v>
      </c>
    </row>
    <row r="122" spans="1:6" ht="14.5" x14ac:dyDescent="0.35">
      <c r="A122" s="5"/>
      <c r="B122" s="5" t="s">
        <v>2</v>
      </c>
      <c r="C122" s="5"/>
      <c r="D122" s="5" t="s">
        <v>3</v>
      </c>
      <c r="E122" s="5" t="s">
        <v>4</v>
      </c>
      <c r="F122" s="5"/>
    </row>
    <row r="123" spans="1:6" ht="14.5" x14ac:dyDescent="0.35">
      <c r="A123" s="39" t="s">
        <v>149</v>
      </c>
      <c r="B123" s="52">
        <v>0.01</v>
      </c>
      <c r="C123" s="5" t="s">
        <v>2</v>
      </c>
      <c r="D123" s="53">
        <v>1320000</v>
      </c>
      <c r="E123" s="52">
        <f t="shared" ref="E123:E131" si="13">B123*D123</f>
        <v>13200</v>
      </c>
      <c r="F123" s="5"/>
    </row>
    <row r="124" spans="1:6" ht="14.5" x14ac:dyDescent="0.35">
      <c r="A124" s="5" t="s">
        <v>118</v>
      </c>
      <c r="B124" s="52">
        <v>1</v>
      </c>
      <c r="C124" s="5" t="s">
        <v>7</v>
      </c>
      <c r="D124" s="52">
        <v>100</v>
      </c>
      <c r="E124" s="52">
        <f t="shared" si="13"/>
        <v>100</v>
      </c>
      <c r="F124" s="5"/>
    </row>
    <row r="125" spans="1:6" ht="15.75" customHeight="1" x14ac:dyDescent="0.55000000000000004">
      <c r="A125" s="5" t="s">
        <v>89</v>
      </c>
      <c r="B125" s="52">
        <v>0.02</v>
      </c>
      <c r="C125" s="5" t="s">
        <v>119</v>
      </c>
      <c r="D125" s="54">
        <f>'PH Umum 2024'!F37</f>
        <v>28903.645833333332</v>
      </c>
      <c r="E125" s="52">
        <f t="shared" si="13"/>
        <v>578.07291666666663</v>
      </c>
      <c r="F125" s="5"/>
    </row>
    <row r="126" spans="1:6" ht="14.5" x14ac:dyDescent="0.35">
      <c r="A126" s="5"/>
      <c r="B126" s="5"/>
      <c r="C126" s="5" t="s">
        <v>90</v>
      </c>
      <c r="D126" s="5"/>
      <c r="E126" s="52">
        <f t="shared" si="13"/>
        <v>0</v>
      </c>
      <c r="F126" s="5"/>
    </row>
    <row r="127" spans="1:6" ht="14.5" x14ac:dyDescent="0.35">
      <c r="A127" s="5"/>
      <c r="B127" s="5"/>
      <c r="C127" s="5" t="s">
        <v>90</v>
      </c>
      <c r="D127" s="5"/>
      <c r="E127" s="52">
        <f t="shared" si="13"/>
        <v>0</v>
      </c>
      <c r="F127" s="5"/>
    </row>
    <row r="128" spans="1:6" ht="14.5" x14ac:dyDescent="0.35">
      <c r="A128" s="5"/>
      <c r="B128" s="5"/>
      <c r="C128" s="5" t="s">
        <v>90</v>
      </c>
      <c r="D128" s="5"/>
      <c r="E128" s="52">
        <f t="shared" si="13"/>
        <v>0</v>
      </c>
      <c r="F128" s="5"/>
    </row>
    <row r="129" spans="1:6" ht="14.5" x14ac:dyDescent="0.35">
      <c r="A129" s="5"/>
      <c r="B129" s="5"/>
      <c r="C129" s="5" t="s">
        <v>90</v>
      </c>
      <c r="D129" s="5"/>
      <c r="E129" s="52">
        <f t="shared" si="13"/>
        <v>0</v>
      </c>
      <c r="F129" s="5"/>
    </row>
    <row r="130" spans="1:6" ht="14.5" x14ac:dyDescent="0.35">
      <c r="A130" s="5"/>
      <c r="B130" s="5"/>
      <c r="C130" s="5" t="s">
        <v>90</v>
      </c>
      <c r="D130" s="5"/>
      <c r="E130" s="52">
        <f t="shared" si="13"/>
        <v>0</v>
      </c>
      <c r="F130" s="5"/>
    </row>
    <row r="131" spans="1:6" ht="14.5" x14ac:dyDescent="0.35">
      <c r="A131" s="5"/>
      <c r="B131" s="5"/>
      <c r="C131" s="5" t="s">
        <v>90</v>
      </c>
      <c r="D131" s="5"/>
      <c r="E131" s="52">
        <f t="shared" si="13"/>
        <v>0</v>
      </c>
      <c r="F131" s="5"/>
    </row>
    <row r="132" spans="1:6" ht="14.5" x14ac:dyDescent="0.35">
      <c r="A132" s="5"/>
      <c r="B132" s="5"/>
      <c r="C132" s="5"/>
      <c r="D132" s="5"/>
      <c r="E132" s="5"/>
      <c r="F132" s="5"/>
    </row>
    <row r="133" spans="1:6" ht="14.5" x14ac:dyDescent="0.35">
      <c r="A133" s="55" t="s">
        <v>298</v>
      </c>
      <c r="B133" s="1"/>
      <c r="C133" s="1"/>
      <c r="D133" s="1"/>
      <c r="E133" s="1"/>
      <c r="F133" s="51">
        <f>SUM(E135:E143)</f>
        <v>3928.0729166666665</v>
      </c>
    </row>
    <row r="134" spans="1:6" ht="14.5" x14ac:dyDescent="0.35">
      <c r="A134" s="5"/>
      <c r="B134" s="5" t="s">
        <v>2</v>
      </c>
      <c r="C134" s="5"/>
      <c r="D134" s="5" t="s">
        <v>3</v>
      </c>
      <c r="E134" s="5" t="s">
        <v>4</v>
      </c>
      <c r="F134" s="5"/>
    </row>
    <row r="135" spans="1:6" ht="14.5" x14ac:dyDescent="0.35">
      <c r="A135" s="39" t="s">
        <v>296</v>
      </c>
      <c r="B135" s="53">
        <v>0.01</v>
      </c>
      <c r="C135" s="5" t="s">
        <v>7</v>
      </c>
      <c r="D135" s="52">
        <v>325000</v>
      </c>
      <c r="E135" s="52">
        <f t="shared" ref="E135:E137" si="14">B135*D135</f>
        <v>3250</v>
      </c>
      <c r="F135" s="5"/>
    </row>
    <row r="136" spans="1:6" ht="14.5" x14ac:dyDescent="0.35">
      <c r="A136" s="5" t="s">
        <v>118</v>
      </c>
      <c r="B136" s="52">
        <v>1</v>
      </c>
      <c r="C136" s="5" t="s">
        <v>7</v>
      </c>
      <c r="D136" s="52">
        <v>100</v>
      </c>
      <c r="E136" s="52">
        <f t="shared" si="14"/>
        <v>100</v>
      </c>
      <c r="F136" s="5"/>
    </row>
    <row r="137" spans="1:6" ht="15.75" customHeight="1" x14ac:dyDescent="0.55000000000000004">
      <c r="A137" s="5" t="s">
        <v>89</v>
      </c>
      <c r="B137" s="52">
        <v>0.02</v>
      </c>
      <c r="C137" s="5" t="s">
        <v>119</v>
      </c>
      <c r="D137" s="101">
        <f>'PH Umum 2024'!F37</f>
        <v>28903.645833333332</v>
      </c>
      <c r="E137" s="52">
        <f t="shared" si="14"/>
        <v>578.07291666666663</v>
      </c>
      <c r="F137" s="5"/>
    </row>
    <row r="138" spans="1:6" ht="14.5" x14ac:dyDescent="0.35">
      <c r="A138" s="5"/>
      <c r="B138" s="5"/>
      <c r="C138" s="5" t="s">
        <v>90</v>
      </c>
      <c r="D138" s="5"/>
      <c r="E138" s="52">
        <f t="shared" ref="E138:E143" si="15">B138*D138</f>
        <v>0</v>
      </c>
      <c r="F138" s="5"/>
    </row>
    <row r="139" spans="1:6" ht="14.5" x14ac:dyDescent="0.35">
      <c r="A139" s="5"/>
      <c r="B139" s="5"/>
      <c r="C139" s="5" t="s">
        <v>90</v>
      </c>
      <c r="D139" s="5"/>
      <c r="E139" s="52">
        <f t="shared" si="15"/>
        <v>0</v>
      </c>
      <c r="F139" s="5"/>
    </row>
    <row r="140" spans="1:6" ht="14.5" x14ac:dyDescent="0.35">
      <c r="A140" s="5"/>
      <c r="B140" s="5"/>
      <c r="C140" s="5" t="s">
        <v>90</v>
      </c>
      <c r="D140" s="5"/>
      <c r="E140" s="52">
        <f t="shared" si="15"/>
        <v>0</v>
      </c>
      <c r="F140" s="5"/>
    </row>
    <row r="141" spans="1:6" ht="14.5" x14ac:dyDescent="0.35">
      <c r="A141" s="5"/>
      <c r="B141" s="5"/>
      <c r="C141" s="5" t="s">
        <v>90</v>
      </c>
      <c r="D141" s="5"/>
      <c r="E141" s="52">
        <f t="shared" si="15"/>
        <v>0</v>
      </c>
      <c r="F141" s="5"/>
    </row>
    <row r="142" spans="1:6" ht="14.5" x14ac:dyDescent="0.35">
      <c r="A142" s="5"/>
      <c r="B142" s="5"/>
      <c r="C142" s="5" t="s">
        <v>90</v>
      </c>
      <c r="D142" s="5"/>
      <c r="E142" s="52">
        <f t="shared" si="15"/>
        <v>0</v>
      </c>
      <c r="F142" s="5"/>
    </row>
    <row r="143" spans="1:6" ht="14.5" x14ac:dyDescent="0.35">
      <c r="A143" s="5"/>
      <c r="B143" s="5"/>
      <c r="C143" s="5" t="s">
        <v>90</v>
      </c>
      <c r="D143" s="5"/>
      <c r="E143" s="52">
        <f t="shared" si="15"/>
        <v>0</v>
      </c>
      <c r="F143" s="5"/>
    </row>
    <row r="144" spans="1:6" ht="14.5" x14ac:dyDescent="0.35">
      <c r="A144" s="5"/>
      <c r="B144" s="5"/>
      <c r="C144" s="5"/>
      <c r="D144" s="5"/>
      <c r="E144" s="5"/>
      <c r="F144" s="5"/>
    </row>
    <row r="145" spans="1:6" ht="14.5" x14ac:dyDescent="0.35">
      <c r="A145" s="1" t="s">
        <v>150</v>
      </c>
      <c r="B145" s="1"/>
      <c r="C145" s="1"/>
      <c r="D145" s="1"/>
      <c r="E145" s="1"/>
      <c r="F145" s="51">
        <f>SUM(E147:E155)</f>
        <v>5933.072916666667</v>
      </c>
    </row>
    <row r="146" spans="1:6" ht="14.5" x14ac:dyDescent="0.35">
      <c r="A146" s="5"/>
      <c r="B146" s="5" t="s">
        <v>2</v>
      </c>
      <c r="C146" s="5"/>
      <c r="D146" s="5" t="s">
        <v>3</v>
      </c>
      <c r="E146" s="5" t="s">
        <v>4</v>
      </c>
      <c r="F146" s="5"/>
    </row>
    <row r="147" spans="1:6" ht="14.5" x14ac:dyDescent="0.35">
      <c r="A147" s="39" t="s">
        <v>151</v>
      </c>
      <c r="B147" s="53">
        <v>1.2500000000000001E-2</v>
      </c>
      <c r="C147" s="39" t="s">
        <v>152</v>
      </c>
      <c r="D147" s="53">
        <v>425600</v>
      </c>
      <c r="E147" s="52">
        <f t="shared" ref="E147:E155" si="16">B147*D147</f>
        <v>5320</v>
      </c>
      <c r="F147" s="5"/>
    </row>
    <row r="148" spans="1:6" ht="14.5" x14ac:dyDescent="0.35">
      <c r="A148" s="5" t="s">
        <v>153</v>
      </c>
      <c r="B148" s="52">
        <v>1</v>
      </c>
      <c r="C148" s="5" t="s">
        <v>62</v>
      </c>
      <c r="D148" s="52">
        <v>35</v>
      </c>
      <c r="E148" s="52">
        <f t="shared" si="16"/>
        <v>35</v>
      </c>
      <c r="F148" s="5"/>
    </row>
    <row r="149" spans="1:6" ht="15.75" customHeight="1" x14ac:dyDescent="0.55000000000000004">
      <c r="A149" s="5" t="s">
        <v>89</v>
      </c>
      <c r="B149" s="52">
        <v>0.02</v>
      </c>
      <c r="C149" s="5" t="s">
        <v>119</v>
      </c>
      <c r="D149" s="54">
        <f>'PH Umum 2024'!F37</f>
        <v>28903.645833333332</v>
      </c>
      <c r="E149" s="52">
        <f t="shared" si="16"/>
        <v>578.07291666666663</v>
      </c>
      <c r="F149" s="5"/>
    </row>
    <row r="150" spans="1:6" ht="14.5" x14ac:dyDescent="0.35">
      <c r="A150" s="5"/>
      <c r="B150" s="5"/>
      <c r="C150" s="5"/>
      <c r="D150" s="5"/>
      <c r="E150" s="52">
        <f t="shared" si="16"/>
        <v>0</v>
      </c>
      <c r="F150" s="5"/>
    </row>
    <row r="151" spans="1:6" ht="14.5" x14ac:dyDescent="0.35">
      <c r="A151" s="5"/>
      <c r="B151" s="5"/>
      <c r="C151" s="5"/>
      <c r="D151" s="5"/>
      <c r="E151" s="52">
        <f t="shared" si="16"/>
        <v>0</v>
      </c>
      <c r="F151" s="5"/>
    </row>
    <row r="152" spans="1:6" ht="14.5" x14ac:dyDescent="0.35">
      <c r="A152" s="5"/>
      <c r="B152" s="5"/>
      <c r="C152" s="5"/>
      <c r="D152" s="5"/>
      <c r="E152" s="52">
        <f t="shared" si="16"/>
        <v>0</v>
      </c>
      <c r="F152" s="5"/>
    </row>
    <row r="153" spans="1:6" ht="14.5" x14ac:dyDescent="0.35">
      <c r="A153" s="5"/>
      <c r="B153" s="5"/>
      <c r="C153" s="5"/>
      <c r="D153" s="5"/>
      <c r="E153" s="52">
        <f t="shared" si="16"/>
        <v>0</v>
      </c>
      <c r="F153" s="5"/>
    </row>
    <row r="154" spans="1:6" ht="14.5" x14ac:dyDescent="0.35">
      <c r="A154" s="5"/>
      <c r="B154" s="5"/>
      <c r="C154" s="5"/>
      <c r="D154" s="5"/>
      <c r="E154" s="52">
        <f t="shared" si="16"/>
        <v>0</v>
      </c>
      <c r="F154" s="5"/>
    </row>
    <row r="155" spans="1:6" ht="14.5" x14ac:dyDescent="0.35">
      <c r="A155" s="5"/>
      <c r="B155" s="5"/>
      <c r="C155" s="5"/>
      <c r="D155" s="5"/>
      <c r="E155" s="52">
        <f t="shared" si="16"/>
        <v>0</v>
      </c>
      <c r="F155" s="5"/>
    </row>
    <row r="156" spans="1:6" ht="14.5" x14ac:dyDescent="0.35">
      <c r="A156" s="5"/>
      <c r="B156" s="5"/>
      <c r="C156" s="5"/>
      <c r="D156" s="5"/>
      <c r="E156" s="5"/>
      <c r="F156" s="5"/>
    </row>
    <row r="157" spans="1:6" ht="14.5" x14ac:dyDescent="0.35">
      <c r="A157" s="1" t="s">
        <v>154</v>
      </c>
      <c r="B157" s="1"/>
      <c r="C157" s="1"/>
      <c r="D157" s="1"/>
      <c r="E157" s="1"/>
      <c r="F157" s="51">
        <f>SUM(E159:E167)</f>
        <v>19863.072916666668</v>
      </c>
    </row>
    <row r="158" spans="1:6" ht="14.5" x14ac:dyDescent="0.35">
      <c r="A158" s="56"/>
      <c r="B158" s="56" t="s">
        <v>2</v>
      </c>
      <c r="C158" s="56"/>
      <c r="D158" s="56" t="s">
        <v>3</v>
      </c>
      <c r="E158" s="5" t="s">
        <v>4</v>
      </c>
      <c r="F158" s="5"/>
    </row>
    <row r="159" spans="1:6" ht="14.5" x14ac:dyDescent="0.35">
      <c r="A159" s="39" t="s">
        <v>155</v>
      </c>
      <c r="B159" s="53">
        <v>2.5000000000000001E-2</v>
      </c>
      <c r="C159" s="39" t="s">
        <v>152</v>
      </c>
      <c r="D159" s="53">
        <v>770000</v>
      </c>
      <c r="E159" s="52">
        <f t="shared" ref="E159:E167" si="17">B159*D159</f>
        <v>19250</v>
      </c>
      <c r="F159" s="5"/>
    </row>
    <row r="160" spans="1:6" ht="14.5" x14ac:dyDescent="0.35">
      <c r="A160" s="39" t="s">
        <v>153</v>
      </c>
      <c r="B160" s="53">
        <v>1</v>
      </c>
      <c r="C160" s="39" t="s">
        <v>62</v>
      </c>
      <c r="D160" s="53">
        <v>35</v>
      </c>
      <c r="E160" s="52">
        <f t="shared" si="17"/>
        <v>35</v>
      </c>
      <c r="F160" s="5"/>
    </row>
    <row r="161" spans="1:6" ht="15.75" customHeight="1" x14ac:dyDescent="0.55000000000000004">
      <c r="A161" s="39" t="s">
        <v>89</v>
      </c>
      <c r="B161" s="53">
        <v>0.02</v>
      </c>
      <c r="C161" s="39" t="s">
        <v>119</v>
      </c>
      <c r="D161" s="54">
        <f>'PH Umum 2024'!F37</f>
        <v>28903.645833333332</v>
      </c>
      <c r="E161" s="52">
        <f t="shared" si="17"/>
        <v>578.07291666666663</v>
      </c>
      <c r="F161" s="5"/>
    </row>
    <row r="162" spans="1:6" ht="14.5" x14ac:dyDescent="0.35">
      <c r="A162" s="5"/>
      <c r="B162" s="5"/>
      <c r="C162" s="5" t="s">
        <v>90</v>
      </c>
      <c r="D162" s="5"/>
      <c r="E162" s="52">
        <f t="shared" si="17"/>
        <v>0</v>
      </c>
      <c r="F162" s="5"/>
    </row>
    <row r="163" spans="1:6" ht="14.5" x14ac:dyDescent="0.35">
      <c r="A163" s="5"/>
      <c r="B163" s="5"/>
      <c r="C163" s="5" t="s">
        <v>90</v>
      </c>
      <c r="D163" s="5"/>
      <c r="E163" s="52">
        <f t="shared" si="17"/>
        <v>0</v>
      </c>
      <c r="F163" s="5"/>
    </row>
    <row r="164" spans="1:6" ht="14.5" x14ac:dyDescent="0.35">
      <c r="A164" s="5"/>
      <c r="B164" s="5"/>
      <c r="C164" s="5" t="s">
        <v>90</v>
      </c>
      <c r="D164" s="5"/>
      <c r="E164" s="52">
        <f t="shared" si="17"/>
        <v>0</v>
      </c>
      <c r="F164" s="5"/>
    </row>
    <row r="165" spans="1:6" ht="14.5" x14ac:dyDescent="0.35">
      <c r="A165" s="5"/>
      <c r="B165" s="5"/>
      <c r="C165" s="5" t="s">
        <v>90</v>
      </c>
      <c r="D165" s="5"/>
      <c r="E165" s="52">
        <f t="shared" si="17"/>
        <v>0</v>
      </c>
      <c r="F165" s="5"/>
    </row>
    <row r="166" spans="1:6" ht="14.5" x14ac:dyDescent="0.35">
      <c r="A166" s="5"/>
      <c r="B166" s="5"/>
      <c r="C166" s="5" t="s">
        <v>90</v>
      </c>
      <c r="D166" s="5"/>
      <c r="E166" s="52">
        <f t="shared" si="17"/>
        <v>0</v>
      </c>
      <c r="F166" s="5"/>
    </row>
    <row r="167" spans="1:6" ht="14.5" x14ac:dyDescent="0.35">
      <c r="A167" s="5"/>
      <c r="B167" s="5"/>
      <c r="C167" s="5" t="s">
        <v>90</v>
      </c>
      <c r="D167" s="5"/>
      <c r="E167" s="52">
        <f t="shared" si="17"/>
        <v>0</v>
      </c>
      <c r="F167" s="5"/>
    </row>
    <row r="168" spans="1:6" ht="14.5" x14ac:dyDescent="0.35">
      <c r="A168" s="5"/>
      <c r="B168" s="5"/>
      <c r="C168" s="5"/>
      <c r="D168" s="5"/>
      <c r="E168" s="5"/>
      <c r="F168" s="5"/>
    </row>
    <row r="169" spans="1:6" ht="14.5" x14ac:dyDescent="0.35">
      <c r="A169" s="1" t="s">
        <v>122</v>
      </c>
      <c r="B169" s="1"/>
      <c r="C169" s="1"/>
      <c r="D169" s="1"/>
      <c r="E169" s="1"/>
      <c r="F169" s="51">
        <f>SUM(E171:E179)</f>
        <v>0</v>
      </c>
    </row>
    <row r="170" spans="1:6" ht="14.5" x14ac:dyDescent="0.35">
      <c r="A170" s="5"/>
      <c r="B170" s="5" t="s">
        <v>2</v>
      </c>
      <c r="C170" s="5"/>
      <c r="D170" s="5" t="s">
        <v>3</v>
      </c>
      <c r="E170" s="5" t="s">
        <v>4</v>
      </c>
      <c r="F170" s="5"/>
    </row>
    <row r="171" spans="1:6" ht="14.5" x14ac:dyDescent="0.35">
      <c r="A171" s="5"/>
      <c r="B171" s="5"/>
      <c r="C171" s="5" t="s">
        <v>90</v>
      </c>
      <c r="D171" s="5"/>
      <c r="E171" s="52">
        <f t="shared" ref="E171:E179" si="18">B171*D171</f>
        <v>0</v>
      </c>
      <c r="F171" s="5"/>
    </row>
    <row r="172" spans="1:6" ht="14.5" x14ac:dyDescent="0.35">
      <c r="A172" s="5"/>
      <c r="B172" s="5"/>
      <c r="C172" s="5" t="s">
        <v>90</v>
      </c>
      <c r="D172" s="5"/>
      <c r="E172" s="52">
        <f t="shared" si="18"/>
        <v>0</v>
      </c>
      <c r="F172" s="5"/>
    </row>
    <row r="173" spans="1:6" ht="14.5" x14ac:dyDescent="0.35">
      <c r="A173" s="5"/>
      <c r="B173" s="5"/>
      <c r="C173" s="5" t="s">
        <v>90</v>
      </c>
      <c r="D173" s="5"/>
      <c r="E173" s="52">
        <f t="shared" si="18"/>
        <v>0</v>
      </c>
      <c r="F173" s="5"/>
    </row>
    <row r="174" spans="1:6" ht="14.5" x14ac:dyDescent="0.35">
      <c r="A174" s="5"/>
      <c r="B174" s="5"/>
      <c r="C174" s="5" t="s">
        <v>90</v>
      </c>
      <c r="D174" s="5"/>
      <c r="E174" s="52">
        <f t="shared" si="18"/>
        <v>0</v>
      </c>
      <c r="F174" s="5"/>
    </row>
    <row r="175" spans="1:6" ht="14.5" x14ac:dyDescent="0.35">
      <c r="A175" s="5"/>
      <c r="B175" s="5"/>
      <c r="C175" s="5" t="s">
        <v>90</v>
      </c>
      <c r="D175" s="5"/>
      <c r="E175" s="52">
        <f t="shared" si="18"/>
        <v>0</v>
      </c>
      <c r="F175" s="5"/>
    </row>
    <row r="176" spans="1:6" ht="14.5" x14ac:dyDescent="0.35">
      <c r="A176" s="5"/>
      <c r="B176" s="5"/>
      <c r="C176" s="5" t="s">
        <v>90</v>
      </c>
      <c r="D176" s="5"/>
      <c r="E176" s="52">
        <f t="shared" si="18"/>
        <v>0</v>
      </c>
      <c r="F176" s="5"/>
    </row>
    <row r="177" spans="1:6" ht="14.5" x14ac:dyDescent="0.35">
      <c r="A177" s="5"/>
      <c r="B177" s="5"/>
      <c r="C177" s="5" t="s">
        <v>90</v>
      </c>
      <c r="D177" s="5"/>
      <c r="E177" s="52">
        <f t="shared" si="18"/>
        <v>0</v>
      </c>
      <c r="F177" s="5"/>
    </row>
    <row r="178" spans="1:6" ht="14.5" x14ac:dyDescent="0.35">
      <c r="A178" s="5"/>
      <c r="B178" s="5"/>
      <c r="C178" s="5" t="s">
        <v>90</v>
      </c>
      <c r="D178" s="5"/>
      <c r="E178" s="52">
        <f t="shared" si="18"/>
        <v>0</v>
      </c>
      <c r="F178" s="5"/>
    </row>
    <row r="179" spans="1:6" ht="14.5" x14ac:dyDescent="0.35">
      <c r="A179" s="5"/>
      <c r="B179" s="5"/>
      <c r="C179" s="5" t="s">
        <v>90</v>
      </c>
      <c r="D179" s="5"/>
      <c r="E179" s="52">
        <f t="shared" si="18"/>
        <v>0</v>
      </c>
      <c r="F179" s="5"/>
    </row>
    <row r="180" spans="1:6" ht="14.5" x14ac:dyDescent="0.35">
      <c r="A180" s="5"/>
      <c r="B180" s="5"/>
      <c r="C180" s="5"/>
      <c r="D180" s="5"/>
      <c r="E180" s="5"/>
      <c r="F180" s="5"/>
    </row>
    <row r="181" spans="1:6" ht="14.5" x14ac:dyDescent="0.35">
      <c r="A181" s="1" t="s">
        <v>122</v>
      </c>
      <c r="B181" s="1"/>
      <c r="C181" s="1"/>
      <c r="D181" s="1"/>
      <c r="E181" s="1"/>
      <c r="F181" s="51">
        <f>SUM(E183:E191)</f>
        <v>0</v>
      </c>
    </row>
    <row r="182" spans="1:6" ht="14.5" x14ac:dyDescent="0.35">
      <c r="A182" s="5"/>
      <c r="B182" s="5" t="s">
        <v>2</v>
      </c>
      <c r="C182" s="5"/>
      <c r="D182" s="5" t="s">
        <v>3</v>
      </c>
      <c r="E182" s="5" t="s">
        <v>4</v>
      </c>
      <c r="F182" s="5"/>
    </row>
    <row r="183" spans="1:6" ht="14.5" x14ac:dyDescent="0.35">
      <c r="A183" s="5"/>
      <c r="B183" s="5"/>
      <c r="C183" s="5" t="s">
        <v>90</v>
      </c>
      <c r="D183" s="5"/>
      <c r="E183" s="52">
        <f t="shared" ref="E183:E191" si="19">B183*D183</f>
        <v>0</v>
      </c>
      <c r="F183" s="5"/>
    </row>
    <row r="184" spans="1:6" ht="14.5" x14ac:dyDescent="0.35">
      <c r="A184" s="5"/>
      <c r="B184" s="5"/>
      <c r="C184" s="5" t="s">
        <v>90</v>
      </c>
      <c r="D184" s="5"/>
      <c r="E184" s="52">
        <f t="shared" si="19"/>
        <v>0</v>
      </c>
      <c r="F184" s="5"/>
    </row>
    <row r="185" spans="1:6" ht="14.5" x14ac:dyDescent="0.35">
      <c r="A185" s="5"/>
      <c r="B185" s="5"/>
      <c r="C185" s="5" t="s">
        <v>90</v>
      </c>
      <c r="D185" s="5"/>
      <c r="E185" s="52">
        <f t="shared" si="19"/>
        <v>0</v>
      </c>
      <c r="F185" s="5"/>
    </row>
    <row r="186" spans="1:6" ht="14.5" x14ac:dyDescent="0.35">
      <c r="A186" s="5"/>
      <c r="B186" s="5"/>
      <c r="C186" s="5" t="s">
        <v>90</v>
      </c>
      <c r="D186" s="5"/>
      <c r="E186" s="52">
        <f t="shared" si="19"/>
        <v>0</v>
      </c>
      <c r="F186" s="5"/>
    </row>
    <row r="187" spans="1:6" ht="14.5" x14ac:dyDescent="0.35">
      <c r="A187" s="5"/>
      <c r="B187" s="5"/>
      <c r="C187" s="5" t="s">
        <v>90</v>
      </c>
      <c r="D187" s="5"/>
      <c r="E187" s="52">
        <f t="shared" si="19"/>
        <v>0</v>
      </c>
      <c r="F187" s="5"/>
    </row>
    <row r="188" spans="1:6" ht="14.5" x14ac:dyDescent="0.35">
      <c r="A188" s="5"/>
      <c r="B188" s="5"/>
      <c r="C188" s="5" t="s">
        <v>90</v>
      </c>
      <c r="D188" s="5"/>
      <c r="E188" s="52">
        <f t="shared" si="19"/>
        <v>0</v>
      </c>
      <c r="F188" s="5"/>
    </row>
    <row r="189" spans="1:6" ht="14.5" x14ac:dyDescent="0.35">
      <c r="A189" s="5"/>
      <c r="B189" s="5"/>
      <c r="C189" s="5" t="s">
        <v>90</v>
      </c>
      <c r="D189" s="5"/>
      <c r="E189" s="52">
        <f t="shared" si="19"/>
        <v>0</v>
      </c>
      <c r="F189" s="5"/>
    </row>
    <row r="190" spans="1:6" ht="14.5" x14ac:dyDescent="0.35">
      <c r="A190" s="5"/>
      <c r="B190" s="5"/>
      <c r="C190" s="5" t="s">
        <v>90</v>
      </c>
      <c r="D190" s="5"/>
      <c r="E190" s="52">
        <f t="shared" si="19"/>
        <v>0</v>
      </c>
      <c r="F190" s="5"/>
    </row>
    <row r="191" spans="1:6" ht="14.5" x14ac:dyDescent="0.35">
      <c r="A191" s="5"/>
      <c r="B191" s="5"/>
      <c r="C191" s="5" t="s">
        <v>90</v>
      </c>
      <c r="D191" s="5"/>
      <c r="E191" s="52">
        <f t="shared" si="19"/>
        <v>0</v>
      </c>
      <c r="F191" s="5"/>
    </row>
    <row r="192" spans="1:6" ht="14.5" x14ac:dyDescent="0.35">
      <c r="A192" s="5"/>
      <c r="B192" s="5"/>
      <c r="C192" s="5"/>
      <c r="D192" s="5"/>
      <c r="E192" s="5"/>
      <c r="F192" s="5"/>
    </row>
    <row r="193" spans="1:6" ht="14.5" x14ac:dyDescent="0.35">
      <c r="A193" s="39" t="s">
        <v>156</v>
      </c>
      <c r="B193" s="1"/>
      <c r="C193" s="1"/>
      <c r="D193" s="1"/>
      <c r="E193" s="1"/>
      <c r="F193" s="51">
        <f>SUM(E195:E203)</f>
        <v>120000</v>
      </c>
    </row>
    <row r="194" spans="1:6" ht="14.5" x14ac:dyDescent="0.35">
      <c r="A194" s="5"/>
      <c r="B194" s="5" t="s">
        <v>2</v>
      </c>
      <c r="C194" s="5"/>
      <c r="D194" s="5" t="s">
        <v>3</v>
      </c>
      <c r="E194" s="5" t="s">
        <v>4</v>
      </c>
      <c r="F194" s="5"/>
    </row>
    <row r="195" spans="1:6" ht="14.5" x14ac:dyDescent="0.35">
      <c r="A195" s="5" t="s">
        <v>157</v>
      </c>
      <c r="B195" s="53">
        <v>0</v>
      </c>
      <c r="C195" s="5" t="s">
        <v>59</v>
      </c>
      <c r="D195" s="53">
        <v>1000</v>
      </c>
      <c r="E195" s="52">
        <f t="shared" ref="E195:E203" si="20">B195*D195</f>
        <v>0</v>
      </c>
      <c r="F195" s="5"/>
    </row>
    <row r="196" spans="1:6" ht="14.5" x14ac:dyDescent="0.35">
      <c r="A196" s="39" t="s">
        <v>158</v>
      </c>
      <c r="B196" s="52">
        <v>12</v>
      </c>
      <c r="C196" s="5" t="s">
        <v>152</v>
      </c>
      <c r="D196" s="52">
        <f>120000/12</f>
        <v>10000</v>
      </c>
      <c r="E196" s="52">
        <f t="shared" si="20"/>
        <v>120000</v>
      </c>
      <c r="F196" s="5"/>
    </row>
    <row r="197" spans="1:6" ht="15.75" customHeight="1" x14ac:dyDescent="0.55000000000000004">
      <c r="A197" s="5" t="s">
        <v>89</v>
      </c>
      <c r="B197" s="52">
        <v>0</v>
      </c>
      <c r="C197" s="5" t="s">
        <v>119</v>
      </c>
      <c r="D197" s="54">
        <f>'PH Umum 2024'!F37</f>
        <v>28903.645833333332</v>
      </c>
      <c r="E197" s="52">
        <f t="shared" si="20"/>
        <v>0</v>
      </c>
      <c r="F197" s="5"/>
    </row>
    <row r="198" spans="1:6" ht="14.5" x14ac:dyDescent="0.35">
      <c r="A198" s="5"/>
      <c r="B198" s="5"/>
      <c r="C198" s="5"/>
      <c r="D198" s="5"/>
      <c r="E198" s="52">
        <f t="shared" si="20"/>
        <v>0</v>
      </c>
      <c r="F198" s="5"/>
    </row>
    <row r="199" spans="1:6" ht="14.5" x14ac:dyDescent="0.35">
      <c r="A199" s="5"/>
      <c r="B199" s="5"/>
      <c r="C199" s="5"/>
      <c r="D199" s="5"/>
      <c r="E199" s="52">
        <f t="shared" si="20"/>
        <v>0</v>
      </c>
      <c r="F199" s="5"/>
    </row>
    <row r="200" spans="1:6" ht="14.5" x14ac:dyDescent="0.35">
      <c r="A200" s="5"/>
      <c r="B200" s="5"/>
      <c r="C200" s="5"/>
      <c r="D200" s="5"/>
      <c r="E200" s="52">
        <f t="shared" si="20"/>
        <v>0</v>
      </c>
      <c r="F200" s="5"/>
    </row>
    <row r="201" spans="1:6" ht="14.5" x14ac:dyDescent="0.35">
      <c r="A201" s="5"/>
      <c r="B201" s="5"/>
      <c r="C201" s="5"/>
      <c r="D201" s="5"/>
      <c r="E201" s="52">
        <f t="shared" si="20"/>
        <v>0</v>
      </c>
      <c r="F201" s="5"/>
    </row>
    <row r="202" spans="1:6" ht="14.5" x14ac:dyDescent="0.35">
      <c r="A202" s="5"/>
      <c r="B202" s="5"/>
      <c r="C202" s="5"/>
      <c r="D202" s="5"/>
      <c r="E202" s="52">
        <f t="shared" si="20"/>
        <v>0</v>
      </c>
      <c r="F202" s="5"/>
    </row>
    <row r="203" spans="1:6" ht="14.5" x14ac:dyDescent="0.35">
      <c r="A203" s="5"/>
      <c r="B203" s="5"/>
      <c r="C203" s="5"/>
      <c r="D203" s="5"/>
      <c r="E203" s="52">
        <f t="shared" si="20"/>
        <v>0</v>
      </c>
      <c r="F203" s="5"/>
    </row>
    <row r="204" spans="1:6" ht="14.5" x14ac:dyDescent="0.35">
      <c r="A204" s="5"/>
      <c r="B204" s="5"/>
      <c r="C204" s="5"/>
      <c r="D204" s="5"/>
      <c r="E204" s="5"/>
      <c r="F204" s="5"/>
    </row>
    <row r="205" spans="1:6" ht="14.5" x14ac:dyDescent="0.35">
      <c r="A205" s="39" t="s">
        <v>159</v>
      </c>
      <c r="B205" s="1"/>
      <c r="C205" s="1"/>
      <c r="D205" s="1"/>
      <c r="E205" s="1"/>
      <c r="F205" s="51">
        <f>SUM(E207:E215)</f>
        <v>120000</v>
      </c>
    </row>
    <row r="206" spans="1:6" ht="14.5" x14ac:dyDescent="0.35">
      <c r="A206" s="5"/>
      <c r="B206" s="5" t="s">
        <v>2</v>
      </c>
      <c r="C206" s="5"/>
      <c r="D206" s="5" t="s">
        <v>3</v>
      </c>
      <c r="E206" s="5" t="s">
        <v>4</v>
      </c>
      <c r="F206" s="5"/>
    </row>
    <row r="207" spans="1:6" ht="14.5" x14ac:dyDescent="0.35">
      <c r="A207" s="5" t="s">
        <v>157</v>
      </c>
      <c r="B207" s="53">
        <v>0</v>
      </c>
      <c r="C207" s="5" t="s">
        <v>59</v>
      </c>
      <c r="D207" s="53">
        <v>1000</v>
      </c>
      <c r="E207" s="52">
        <f t="shared" ref="E207:E215" si="21">B207*D207</f>
        <v>0</v>
      </c>
      <c r="F207" s="5"/>
    </row>
    <row r="208" spans="1:6" ht="14.5" x14ac:dyDescent="0.35">
      <c r="A208" s="39" t="s">
        <v>299</v>
      </c>
      <c r="B208" s="52">
        <v>30</v>
      </c>
      <c r="C208" s="5" t="s">
        <v>152</v>
      </c>
      <c r="D208" s="52">
        <f>120000/30</f>
        <v>4000</v>
      </c>
      <c r="E208" s="52">
        <f t="shared" si="21"/>
        <v>120000</v>
      </c>
      <c r="F208" s="5"/>
    </row>
    <row r="209" spans="1:6" ht="15.75" customHeight="1" x14ac:dyDescent="0.55000000000000004">
      <c r="A209" s="5" t="s">
        <v>89</v>
      </c>
      <c r="B209" s="52">
        <v>0</v>
      </c>
      <c r="C209" s="5" t="s">
        <v>119</v>
      </c>
      <c r="D209" s="54">
        <f>'PH Umum 2024'!F37</f>
        <v>28903.645833333332</v>
      </c>
      <c r="E209" s="52">
        <f t="shared" si="21"/>
        <v>0</v>
      </c>
      <c r="F209" s="5"/>
    </row>
    <row r="210" spans="1:6" ht="14.5" x14ac:dyDescent="0.35">
      <c r="A210" s="5"/>
      <c r="B210" s="5"/>
      <c r="C210" s="5" t="s">
        <v>90</v>
      </c>
      <c r="D210" s="5"/>
      <c r="E210" s="52">
        <f t="shared" si="21"/>
        <v>0</v>
      </c>
      <c r="F210" s="5"/>
    </row>
    <row r="211" spans="1:6" ht="14.5" x14ac:dyDescent="0.35">
      <c r="A211" s="5"/>
      <c r="B211" s="5"/>
      <c r="C211" s="5" t="s">
        <v>90</v>
      </c>
      <c r="D211" s="5"/>
      <c r="E211" s="52">
        <f t="shared" si="21"/>
        <v>0</v>
      </c>
      <c r="F211" s="5"/>
    </row>
    <row r="212" spans="1:6" ht="14.5" x14ac:dyDescent="0.35">
      <c r="A212" s="5"/>
      <c r="B212" s="5"/>
      <c r="C212" s="5" t="s">
        <v>90</v>
      </c>
      <c r="D212" s="5"/>
      <c r="E212" s="52">
        <f t="shared" si="21"/>
        <v>0</v>
      </c>
      <c r="F212" s="5"/>
    </row>
    <row r="213" spans="1:6" ht="14.5" x14ac:dyDescent="0.35">
      <c r="A213" s="5"/>
      <c r="B213" s="5"/>
      <c r="C213" s="5" t="s">
        <v>90</v>
      </c>
      <c r="D213" s="5"/>
      <c r="E213" s="52">
        <f t="shared" si="21"/>
        <v>0</v>
      </c>
      <c r="F213" s="5"/>
    </row>
    <row r="214" spans="1:6" ht="14.5" x14ac:dyDescent="0.35">
      <c r="A214" s="5"/>
      <c r="B214" s="5"/>
      <c r="C214" s="5" t="s">
        <v>90</v>
      </c>
      <c r="D214" s="5"/>
      <c r="E214" s="52">
        <f t="shared" si="21"/>
        <v>0</v>
      </c>
      <c r="F214" s="5"/>
    </row>
    <row r="215" spans="1:6" ht="14.5" x14ac:dyDescent="0.35">
      <c r="A215" s="5"/>
      <c r="B215" s="5"/>
      <c r="C215" s="5" t="s">
        <v>90</v>
      </c>
      <c r="D215" s="5"/>
      <c r="E215" s="52">
        <f t="shared" si="21"/>
        <v>0</v>
      </c>
      <c r="F215" s="5"/>
    </row>
    <row r="216" spans="1:6" ht="14.5" x14ac:dyDescent="0.35">
      <c r="A216" s="5"/>
      <c r="B216" s="5"/>
      <c r="C216" s="5"/>
      <c r="D216" s="5"/>
      <c r="E216" s="5"/>
      <c r="F216" s="5"/>
    </row>
    <row r="217" spans="1:6" ht="14.5" x14ac:dyDescent="0.35">
      <c r="A217" s="1" t="s">
        <v>122</v>
      </c>
      <c r="B217" s="1"/>
      <c r="C217" s="1"/>
      <c r="D217" s="1"/>
      <c r="E217" s="1"/>
      <c r="F217" s="51">
        <f>SUM(E219:E227)</f>
        <v>0</v>
      </c>
    </row>
    <row r="218" spans="1:6" ht="14.5" x14ac:dyDescent="0.35">
      <c r="A218" s="5"/>
      <c r="B218" s="5" t="s">
        <v>2</v>
      </c>
      <c r="C218" s="5"/>
      <c r="D218" s="5" t="s">
        <v>3</v>
      </c>
      <c r="E218" s="5" t="s">
        <v>4</v>
      </c>
      <c r="F218" s="5"/>
    </row>
    <row r="219" spans="1:6" ht="14.5" x14ac:dyDescent="0.35">
      <c r="A219" s="5"/>
      <c r="B219" s="5"/>
      <c r="C219" s="5" t="s">
        <v>90</v>
      </c>
      <c r="D219" s="5"/>
      <c r="E219" s="52">
        <f t="shared" ref="E219:E227" si="22">B219*D219</f>
        <v>0</v>
      </c>
      <c r="F219" s="5"/>
    </row>
    <row r="220" spans="1:6" ht="14.5" x14ac:dyDescent="0.35">
      <c r="A220" s="5"/>
      <c r="B220" s="5"/>
      <c r="C220" s="5" t="s">
        <v>90</v>
      </c>
      <c r="D220" s="5"/>
      <c r="E220" s="52">
        <f t="shared" si="22"/>
        <v>0</v>
      </c>
      <c r="F220" s="5"/>
    </row>
    <row r="221" spans="1:6" ht="14.5" x14ac:dyDescent="0.35">
      <c r="A221" s="5"/>
      <c r="B221" s="5"/>
      <c r="C221" s="5" t="s">
        <v>90</v>
      </c>
      <c r="D221" s="5"/>
      <c r="E221" s="52">
        <f t="shared" si="22"/>
        <v>0</v>
      </c>
      <c r="F221" s="5"/>
    </row>
    <row r="222" spans="1:6" ht="14.5" x14ac:dyDescent="0.35">
      <c r="A222" s="5"/>
      <c r="B222" s="5"/>
      <c r="C222" s="5" t="s">
        <v>90</v>
      </c>
      <c r="D222" s="5"/>
      <c r="E222" s="52">
        <f t="shared" si="22"/>
        <v>0</v>
      </c>
      <c r="F222" s="5"/>
    </row>
    <row r="223" spans="1:6" ht="14.5" x14ac:dyDescent="0.35">
      <c r="A223" s="5"/>
      <c r="B223" s="5"/>
      <c r="C223" s="5" t="s">
        <v>90</v>
      </c>
      <c r="D223" s="5"/>
      <c r="E223" s="52">
        <f t="shared" si="22"/>
        <v>0</v>
      </c>
      <c r="F223" s="5"/>
    </row>
    <row r="224" spans="1:6" ht="14.5" x14ac:dyDescent="0.35">
      <c r="A224" s="5"/>
      <c r="B224" s="5"/>
      <c r="C224" s="5" t="s">
        <v>90</v>
      </c>
      <c r="D224" s="5"/>
      <c r="E224" s="52">
        <f t="shared" si="22"/>
        <v>0</v>
      </c>
      <c r="F224" s="5"/>
    </row>
    <row r="225" spans="1:6" ht="14.5" x14ac:dyDescent="0.35">
      <c r="A225" s="5"/>
      <c r="B225" s="5"/>
      <c r="C225" s="5" t="s">
        <v>90</v>
      </c>
      <c r="D225" s="5"/>
      <c r="E225" s="52">
        <f t="shared" si="22"/>
        <v>0</v>
      </c>
      <c r="F225" s="5"/>
    </row>
    <row r="226" spans="1:6" ht="14.5" x14ac:dyDescent="0.35">
      <c r="A226" s="5"/>
      <c r="B226" s="5"/>
      <c r="C226" s="5" t="s">
        <v>90</v>
      </c>
      <c r="D226" s="5"/>
      <c r="E226" s="52">
        <f t="shared" si="22"/>
        <v>0</v>
      </c>
      <c r="F226" s="5"/>
    </row>
    <row r="227" spans="1:6" ht="14.5" x14ac:dyDescent="0.35">
      <c r="A227" s="5"/>
      <c r="B227" s="5"/>
      <c r="C227" s="5" t="s">
        <v>90</v>
      </c>
      <c r="D227" s="5"/>
      <c r="E227" s="52">
        <f t="shared" si="22"/>
        <v>0</v>
      </c>
      <c r="F227" s="5"/>
    </row>
    <row r="228" spans="1:6" ht="14.5" x14ac:dyDescent="0.35">
      <c r="A228" s="5"/>
      <c r="B228" s="5"/>
      <c r="C228" s="5"/>
      <c r="D228" s="5"/>
      <c r="E228" s="5"/>
      <c r="F228" s="5"/>
    </row>
    <row r="229" spans="1:6" ht="14.5" x14ac:dyDescent="0.35">
      <c r="A229" s="1" t="s">
        <v>122</v>
      </c>
      <c r="B229" s="1"/>
      <c r="C229" s="1"/>
      <c r="D229" s="1"/>
      <c r="E229" s="1"/>
      <c r="F229" s="51">
        <f>SUM(E231:E239)</f>
        <v>0</v>
      </c>
    </row>
    <row r="230" spans="1:6" ht="14.5" x14ac:dyDescent="0.35">
      <c r="A230" s="5"/>
      <c r="B230" s="5" t="s">
        <v>2</v>
      </c>
      <c r="C230" s="5"/>
      <c r="D230" s="5" t="s">
        <v>3</v>
      </c>
      <c r="E230" s="5" t="s">
        <v>4</v>
      </c>
      <c r="F230" s="5"/>
    </row>
    <row r="231" spans="1:6" ht="14.5" x14ac:dyDescent="0.35">
      <c r="A231" s="5"/>
      <c r="B231" s="5"/>
      <c r="C231" s="5" t="s">
        <v>90</v>
      </c>
      <c r="D231" s="5"/>
      <c r="E231" s="52">
        <f t="shared" ref="E231:E239" si="23">B231*D231</f>
        <v>0</v>
      </c>
      <c r="F231" s="5"/>
    </row>
    <row r="232" spans="1:6" ht="14.5" x14ac:dyDescent="0.35">
      <c r="A232" s="5"/>
      <c r="B232" s="5"/>
      <c r="C232" s="5" t="s">
        <v>90</v>
      </c>
      <c r="D232" s="5"/>
      <c r="E232" s="52">
        <f t="shared" si="23"/>
        <v>0</v>
      </c>
      <c r="F232" s="5"/>
    </row>
    <row r="233" spans="1:6" ht="14.5" x14ac:dyDescent="0.35">
      <c r="A233" s="5"/>
      <c r="B233" s="5"/>
      <c r="C233" s="5" t="s">
        <v>90</v>
      </c>
      <c r="D233" s="5"/>
      <c r="E233" s="52">
        <f t="shared" si="23"/>
        <v>0</v>
      </c>
      <c r="F233" s="5"/>
    </row>
    <row r="234" spans="1:6" ht="14.5" x14ac:dyDescent="0.35">
      <c r="A234" s="5"/>
      <c r="B234" s="5"/>
      <c r="C234" s="5" t="s">
        <v>90</v>
      </c>
      <c r="D234" s="5"/>
      <c r="E234" s="52">
        <f t="shared" si="23"/>
        <v>0</v>
      </c>
      <c r="F234" s="5"/>
    </row>
    <row r="235" spans="1:6" ht="14.5" x14ac:dyDescent="0.35">
      <c r="A235" s="5"/>
      <c r="B235" s="5"/>
      <c r="C235" s="5" t="s">
        <v>90</v>
      </c>
      <c r="D235" s="5"/>
      <c r="E235" s="52">
        <f t="shared" si="23"/>
        <v>0</v>
      </c>
      <c r="F235" s="5"/>
    </row>
    <row r="236" spans="1:6" ht="14.5" x14ac:dyDescent="0.35">
      <c r="A236" s="5"/>
      <c r="B236" s="5"/>
      <c r="C236" s="5" t="s">
        <v>90</v>
      </c>
      <c r="D236" s="5"/>
      <c r="E236" s="52">
        <f t="shared" si="23"/>
        <v>0</v>
      </c>
      <c r="F236" s="5"/>
    </row>
    <row r="237" spans="1:6" ht="14.5" x14ac:dyDescent="0.35">
      <c r="A237" s="5"/>
      <c r="B237" s="5"/>
      <c r="C237" s="5" t="s">
        <v>90</v>
      </c>
      <c r="D237" s="5"/>
      <c r="E237" s="52">
        <f t="shared" si="23"/>
        <v>0</v>
      </c>
      <c r="F237" s="5"/>
    </row>
    <row r="238" spans="1:6" ht="14.5" x14ac:dyDescent="0.35">
      <c r="A238" s="5"/>
      <c r="B238" s="5"/>
      <c r="C238" s="5" t="s">
        <v>90</v>
      </c>
      <c r="D238" s="5"/>
      <c r="E238" s="52">
        <f t="shared" si="23"/>
        <v>0</v>
      </c>
      <c r="F238" s="5"/>
    </row>
    <row r="239" spans="1:6" ht="14.5" x14ac:dyDescent="0.35">
      <c r="A239" s="5"/>
      <c r="B239" s="5"/>
      <c r="C239" s="5" t="s">
        <v>90</v>
      </c>
      <c r="D239" s="5"/>
      <c r="E239" s="52">
        <f t="shared" si="23"/>
        <v>0</v>
      </c>
      <c r="F239" s="5"/>
    </row>
    <row r="240" spans="1:6" ht="14.5" x14ac:dyDescent="0.35">
      <c r="A240" s="5"/>
      <c r="B240" s="5"/>
      <c r="C240" s="5"/>
      <c r="D240" s="5"/>
      <c r="E240" s="5"/>
      <c r="F240" s="5"/>
    </row>
    <row r="241" spans="1:6" ht="14.5" x14ac:dyDescent="0.35">
      <c r="A241" s="1" t="s">
        <v>259</v>
      </c>
      <c r="B241" s="1"/>
      <c r="C241" s="1"/>
      <c r="D241" s="1"/>
      <c r="E241" s="1"/>
      <c r="F241" s="51">
        <f>SUM(E243:E251)</f>
        <v>7011.4062448333334</v>
      </c>
    </row>
    <row r="242" spans="1:6" ht="14.5" x14ac:dyDescent="0.35">
      <c r="A242" s="5"/>
      <c r="B242" s="5" t="s">
        <v>2</v>
      </c>
      <c r="C242" s="5"/>
      <c r="D242" s="5" t="s">
        <v>3</v>
      </c>
      <c r="E242" s="5" t="s">
        <v>4</v>
      </c>
      <c r="F242" s="5"/>
    </row>
    <row r="243" spans="1:6" ht="14.5" x14ac:dyDescent="0.35">
      <c r="A243" s="5" t="s">
        <v>259</v>
      </c>
      <c r="B243" s="52">
        <f>1/12</f>
        <v>8.3333333333333329E-2</v>
      </c>
      <c r="C243" s="5" t="s">
        <v>59</v>
      </c>
      <c r="D243" s="53">
        <v>65000</v>
      </c>
      <c r="E243" s="52">
        <f t="shared" ref="E243:E251" si="24">B243*D243</f>
        <v>5416.6666666666661</v>
      </c>
      <c r="F243" s="5"/>
    </row>
    <row r="244" spans="1:6" ht="14.5" x14ac:dyDescent="0.35">
      <c r="A244" s="5" t="s">
        <v>160</v>
      </c>
      <c r="B244" s="52">
        <v>10</v>
      </c>
      <c r="C244" s="5" t="s">
        <v>59</v>
      </c>
      <c r="D244" s="52">
        <v>50</v>
      </c>
      <c r="E244" s="52">
        <f t="shared" si="24"/>
        <v>500</v>
      </c>
      <c r="F244" s="5"/>
    </row>
    <row r="245" spans="1:6" ht="14.5" x14ac:dyDescent="0.35">
      <c r="A245" s="5" t="s">
        <v>161</v>
      </c>
      <c r="B245" s="52">
        <v>3.3333333E-2</v>
      </c>
      <c r="C245" s="5" t="s">
        <v>162</v>
      </c>
      <c r="D245" s="53">
        <v>15500</v>
      </c>
      <c r="E245" s="52">
        <f>B245*D245</f>
        <v>516.66666150000003</v>
      </c>
      <c r="F245" s="5"/>
    </row>
    <row r="246" spans="1:6" ht="15.75" customHeight="1" x14ac:dyDescent="0.55000000000000004">
      <c r="A246" s="5" t="s">
        <v>89</v>
      </c>
      <c r="B246" s="52">
        <v>0.02</v>
      </c>
      <c r="C246" s="5" t="s">
        <v>119</v>
      </c>
      <c r="D246" s="54">
        <f>'PH Umum 2024'!F37</f>
        <v>28903.645833333332</v>
      </c>
      <c r="E246" s="52">
        <f>B246*D246</f>
        <v>578.07291666666663</v>
      </c>
      <c r="F246" s="5"/>
    </row>
    <row r="247" spans="1:6" ht="14.5" x14ac:dyDescent="0.35">
      <c r="F247" s="5"/>
    </row>
    <row r="248" spans="1:6" ht="14.5" x14ac:dyDescent="0.35">
      <c r="A248" s="5"/>
      <c r="B248" s="5"/>
      <c r="C248" s="5"/>
      <c r="D248" s="5"/>
      <c r="E248" s="52">
        <f t="shared" si="24"/>
        <v>0</v>
      </c>
      <c r="F248" s="5"/>
    </row>
    <row r="249" spans="1:6" ht="14.5" x14ac:dyDescent="0.35">
      <c r="A249" s="5"/>
      <c r="B249" s="5"/>
      <c r="C249" s="5"/>
      <c r="D249" s="5"/>
      <c r="E249" s="52">
        <f t="shared" si="24"/>
        <v>0</v>
      </c>
      <c r="F249" s="5"/>
    </row>
    <row r="250" spans="1:6" ht="14.5" x14ac:dyDescent="0.35">
      <c r="A250" s="5"/>
      <c r="B250" s="5"/>
      <c r="C250" s="5"/>
      <c r="D250" s="5"/>
      <c r="E250" s="52">
        <f t="shared" si="24"/>
        <v>0</v>
      </c>
      <c r="F250" s="5"/>
    </row>
    <row r="251" spans="1:6" ht="14.5" x14ac:dyDescent="0.35">
      <c r="A251" s="5"/>
      <c r="B251" s="5"/>
      <c r="C251" s="5"/>
      <c r="D251" s="5"/>
      <c r="E251" s="52">
        <f t="shared" si="24"/>
        <v>0</v>
      </c>
      <c r="F251" s="5"/>
    </row>
    <row r="252" spans="1:6" ht="14.5" x14ac:dyDescent="0.35">
      <c r="A252" s="5"/>
      <c r="B252" s="5"/>
      <c r="C252" s="5"/>
      <c r="D252" s="5"/>
      <c r="E252" s="5"/>
      <c r="F252" s="5"/>
    </row>
    <row r="253" spans="1:6" ht="14.5" x14ac:dyDescent="0.35">
      <c r="A253" s="1" t="s">
        <v>122</v>
      </c>
      <c r="B253" s="1"/>
      <c r="C253" s="1"/>
      <c r="D253" s="1"/>
      <c r="E253" s="1"/>
      <c r="F253" s="51">
        <f>SUM(E255:E263)</f>
        <v>0</v>
      </c>
    </row>
    <row r="254" spans="1:6" ht="14.5" x14ac:dyDescent="0.35">
      <c r="A254" s="5"/>
      <c r="B254" s="5" t="s">
        <v>2</v>
      </c>
      <c r="C254" s="5"/>
      <c r="D254" s="5" t="s">
        <v>3</v>
      </c>
      <c r="E254" s="5" t="s">
        <v>4</v>
      </c>
      <c r="F254" s="5"/>
    </row>
    <row r="255" spans="1:6" ht="14.5" x14ac:dyDescent="0.35">
      <c r="A255" s="5"/>
      <c r="B255" s="5"/>
      <c r="C255" s="5" t="s">
        <v>90</v>
      </c>
      <c r="D255" s="5"/>
      <c r="E255" s="52">
        <f t="shared" ref="E255:E263" si="25">B255*D255</f>
        <v>0</v>
      </c>
      <c r="F255" s="5"/>
    </row>
    <row r="256" spans="1:6" ht="14.5" x14ac:dyDescent="0.35">
      <c r="A256" s="5"/>
      <c r="B256" s="5"/>
      <c r="C256" s="5" t="s">
        <v>90</v>
      </c>
      <c r="D256" s="5"/>
      <c r="E256" s="52">
        <f t="shared" si="25"/>
        <v>0</v>
      </c>
      <c r="F256" s="5"/>
    </row>
    <row r="257" spans="1:6" ht="14.5" x14ac:dyDescent="0.35">
      <c r="A257" s="5"/>
      <c r="B257" s="5"/>
      <c r="C257" s="5" t="s">
        <v>90</v>
      </c>
      <c r="D257" s="5"/>
      <c r="E257" s="52">
        <f t="shared" si="25"/>
        <v>0</v>
      </c>
      <c r="F257" s="5"/>
    </row>
    <row r="258" spans="1:6" ht="14.5" x14ac:dyDescent="0.35">
      <c r="A258" s="5"/>
      <c r="B258" s="5"/>
      <c r="C258" s="5" t="s">
        <v>90</v>
      </c>
      <c r="D258" s="5"/>
      <c r="E258" s="52">
        <f t="shared" si="25"/>
        <v>0</v>
      </c>
      <c r="F258" s="5"/>
    </row>
    <row r="259" spans="1:6" ht="14.5" x14ac:dyDescent="0.35">
      <c r="A259" s="5"/>
      <c r="B259" s="5"/>
      <c r="C259" s="5" t="s">
        <v>90</v>
      </c>
      <c r="D259" s="5"/>
      <c r="E259" s="52">
        <f t="shared" si="25"/>
        <v>0</v>
      </c>
      <c r="F259" s="5"/>
    </row>
    <row r="260" spans="1:6" ht="14.5" x14ac:dyDescent="0.35">
      <c r="A260" s="5"/>
      <c r="B260" s="5"/>
      <c r="C260" s="5" t="s">
        <v>90</v>
      </c>
      <c r="D260" s="5"/>
      <c r="E260" s="52">
        <f t="shared" si="25"/>
        <v>0</v>
      </c>
      <c r="F260" s="5"/>
    </row>
    <row r="261" spans="1:6" ht="14.5" x14ac:dyDescent="0.35">
      <c r="A261" s="5"/>
      <c r="B261" s="5"/>
      <c r="C261" s="5" t="s">
        <v>90</v>
      </c>
      <c r="D261" s="5"/>
      <c r="E261" s="52">
        <f t="shared" si="25"/>
        <v>0</v>
      </c>
      <c r="F261" s="5"/>
    </row>
    <row r="262" spans="1:6" ht="14.5" x14ac:dyDescent="0.35">
      <c r="A262" s="5"/>
      <c r="B262" s="5"/>
      <c r="C262" s="5" t="s">
        <v>90</v>
      </c>
      <c r="D262" s="5"/>
      <c r="E262" s="52">
        <f t="shared" si="25"/>
        <v>0</v>
      </c>
      <c r="F262" s="5"/>
    </row>
    <row r="263" spans="1:6" ht="14.5" x14ac:dyDescent="0.35">
      <c r="A263" s="5"/>
      <c r="B263" s="5"/>
      <c r="C263" s="5" t="s">
        <v>90</v>
      </c>
      <c r="D263" s="5"/>
      <c r="E263" s="52">
        <f t="shared" si="25"/>
        <v>0</v>
      </c>
      <c r="F263" s="5"/>
    </row>
    <row r="264" spans="1:6" ht="14.5" x14ac:dyDescent="0.35">
      <c r="A264" s="5"/>
      <c r="B264" s="5"/>
      <c r="C264" s="5"/>
      <c r="D264" s="5"/>
      <c r="E264" s="5"/>
      <c r="F264" s="5"/>
    </row>
    <row r="265" spans="1:6" ht="14.5" x14ac:dyDescent="0.35">
      <c r="A265" s="1" t="s">
        <v>122</v>
      </c>
      <c r="B265" s="1"/>
      <c r="C265" s="1"/>
      <c r="D265" s="1"/>
      <c r="E265" s="1"/>
      <c r="F265" s="51">
        <f>SUM(E267:E275)</f>
        <v>0</v>
      </c>
    </row>
    <row r="266" spans="1:6" ht="14.5" x14ac:dyDescent="0.35">
      <c r="A266" s="5"/>
      <c r="B266" s="5" t="s">
        <v>2</v>
      </c>
      <c r="C266" s="5"/>
      <c r="D266" s="5" t="s">
        <v>3</v>
      </c>
      <c r="E266" s="5" t="s">
        <v>4</v>
      </c>
      <c r="F266" s="5"/>
    </row>
    <row r="267" spans="1:6" ht="14.5" x14ac:dyDescent="0.35">
      <c r="A267" s="5"/>
      <c r="B267" s="5"/>
      <c r="C267" s="5" t="s">
        <v>90</v>
      </c>
      <c r="D267" s="5"/>
      <c r="E267" s="52">
        <f t="shared" ref="E267:E275" si="26">B267*D267</f>
        <v>0</v>
      </c>
      <c r="F267" s="5"/>
    </row>
    <row r="268" spans="1:6" ht="14.5" x14ac:dyDescent="0.35">
      <c r="A268" s="5"/>
      <c r="B268" s="5"/>
      <c r="C268" s="5" t="s">
        <v>90</v>
      </c>
      <c r="D268" s="5"/>
      <c r="E268" s="52">
        <f t="shared" si="26"/>
        <v>0</v>
      </c>
      <c r="F268" s="5"/>
    </row>
    <row r="269" spans="1:6" ht="14.5" x14ac:dyDescent="0.35">
      <c r="A269" s="5"/>
      <c r="B269" s="5"/>
      <c r="C269" s="5" t="s">
        <v>90</v>
      </c>
      <c r="D269" s="5"/>
      <c r="E269" s="52">
        <f t="shared" si="26"/>
        <v>0</v>
      </c>
      <c r="F269" s="5"/>
    </row>
    <row r="270" spans="1:6" ht="14.5" x14ac:dyDescent="0.35">
      <c r="A270" s="5"/>
      <c r="B270" s="5"/>
      <c r="C270" s="5" t="s">
        <v>90</v>
      </c>
      <c r="D270" s="5"/>
      <c r="E270" s="52">
        <f t="shared" si="26"/>
        <v>0</v>
      </c>
      <c r="F270" s="5"/>
    </row>
    <row r="271" spans="1:6" ht="14.5" x14ac:dyDescent="0.35">
      <c r="A271" s="5"/>
      <c r="B271" s="5"/>
      <c r="C271" s="5" t="s">
        <v>90</v>
      </c>
      <c r="D271" s="5"/>
      <c r="E271" s="52">
        <f t="shared" si="26"/>
        <v>0</v>
      </c>
      <c r="F271" s="5"/>
    </row>
    <row r="272" spans="1:6" ht="14.5" x14ac:dyDescent="0.35">
      <c r="A272" s="5"/>
      <c r="B272" s="5"/>
      <c r="C272" s="5" t="s">
        <v>90</v>
      </c>
      <c r="D272" s="5"/>
      <c r="E272" s="52">
        <f t="shared" si="26"/>
        <v>0</v>
      </c>
      <c r="F272" s="5"/>
    </row>
    <row r="273" spans="1:6" ht="14.5" x14ac:dyDescent="0.35">
      <c r="A273" s="5"/>
      <c r="B273" s="5"/>
      <c r="C273" s="5" t="s">
        <v>90</v>
      </c>
      <c r="D273" s="5"/>
      <c r="E273" s="52">
        <f t="shared" si="26"/>
        <v>0</v>
      </c>
      <c r="F273" s="5"/>
    </row>
    <row r="274" spans="1:6" ht="14.5" x14ac:dyDescent="0.35">
      <c r="A274" s="5"/>
      <c r="B274" s="5"/>
      <c r="C274" s="5" t="s">
        <v>90</v>
      </c>
      <c r="D274" s="5"/>
      <c r="E274" s="52">
        <f t="shared" si="26"/>
        <v>0</v>
      </c>
      <c r="F274" s="5"/>
    </row>
    <row r="275" spans="1:6" ht="14.5" x14ac:dyDescent="0.35">
      <c r="A275" s="5"/>
      <c r="B275" s="5"/>
      <c r="C275" s="5" t="s">
        <v>90</v>
      </c>
      <c r="D275" s="5"/>
      <c r="E275" s="52">
        <f t="shared" si="26"/>
        <v>0</v>
      </c>
      <c r="F275" s="5"/>
    </row>
    <row r="276" spans="1:6" ht="14.5" x14ac:dyDescent="0.35">
      <c r="A276" s="5"/>
      <c r="B276" s="5"/>
      <c r="C276" s="5"/>
      <c r="D276" s="5"/>
      <c r="E276" s="5"/>
      <c r="F276" s="5"/>
    </row>
    <row r="277" spans="1:6" ht="14.5" x14ac:dyDescent="0.35">
      <c r="A277" s="1" t="s">
        <v>122</v>
      </c>
      <c r="B277" s="1"/>
      <c r="C277" s="1"/>
      <c r="D277" s="1"/>
      <c r="E277" s="1"/>
      <c r="F277" s="51">
        <f>SUM(E279:E287)</f>
        <v>0</v>
      </c>
    </row>
    <row r="278" spans="1:6" ht="14.5" x14ac:dyDescent="0.35">
      <c r="A278" s="5"/>
      <c r="B278" s="5" t="s">
        <v>2</v>
      </c>
      <c r="C278" s="5"/>
      <c r="D278" s="5" t="s">
        <v>3</v>
      </c>
      <c r="E278" s="5" t="s">
        <v>4</v>
      </c>
      <c r="F278" s="5"/>
    </row>
    <row r="279" spans="1:6" ht="14.5" x14ac:dyDescent="0.35">
      <c r="A279" s="5"/>
      <c r="B279" s="5"/>
      <c r="C279" s="5" t="s">
        <v>90</v>
      </c>
      <c r="D279" s="5"/>
      <c r="E279" s="52">
        <f t="shared" ref="E279:E287" si="27">B279*D279</f>
        <v>0</v>
      </c>
      <c r="F279" s="5"/>
    </row>
    <row r="280" spans="1:6" ht="14.5" x14ac:dyDescent="0.35">
      <c r="A280" s="5"/>
      <c r="B280" s="5"/>
      <c r="C280" s="5" t="s">
        <v>90</v>
      </c>
      <c r="D280" s="5"/>
      <c r="E280" s="52">
        <f t="shared" si="27"/>
        <v>0</v>
      </c>
      <c r="F280" s="5"/>
    </row>
    <row r="281" spans="1:6" ht="14.5" x14ac:dyDescent="0.35">
      <c r="A281" s="5"/>
      <c r="B281" s="5"/>
      <c r="C281" s="5" t="s">
        <v>90</v>
      </c>
      <c r="D281" s="5"/>
      <c r="E281" s="52">
        <f t="shared" si="27"/>
        <v>0</v>
      </c>
      <c r="F281" s="5"/>
    </row>
    <row r="282" spans="1:6" ht="14.5" x14ac:dyDescent="0.35">
      <c r="A282" s="5"/>
      <c r="B282" s="5"/>
      <c r="C282" s="5" t="s">
        <v>90</v>
      </c>
      <c r="D282" s="5"/>
      <c r="E282" s="52">
        <f t="shared" si="27"/>
        <v>0</v>
      </c>
      <c r="F282" s="5"/>
    </row>
    <row r="283" spans="1:6" ht="14.5" x14ac:dyDescent="0.35">
      <c r="A283" s="5"/>
      <c r="B283" s="5"/>
      <c r="C283" s="5" t="s">
        <v>90</v>
      </c>
      <c r="D283" s="5"/>
      <c r="E283" s="52">
        <f t="shared" si="27"/>
        <v>0</v>
      </c>
      <c r="F283" s="5"/>
    </row>
    <row r="284" spans="1:6" ht="14.5" x14ac:dyDescent="0.35">
      <c r="A284" s="5"/>
      <c r="B284" s="5"/>
      <c r="C284" s="5" t="s">
        <v>90</v>
      </c>
      <c r="D284" s="5"/>
      <c r="E284" s="52">
        <f t="shared" si="27"/>
        <v>0</v>
      </c>
      <c r="F284" s="5"/>
    </row>
    <row r="285" spans="1:6" ht="14.5" x14ac:dyDescent="0.35">
      <c r="A285" s="5"/>
      <c r="B285" s="5"/>
      <c r="C285" s="5" t="s">
        <v>90</v>
      </c>
      <c r="D285" s="5"/>
      <c r="E285" s="52">
        <f t="shared" si="27"/>
        <v>0</v>
      </c>
      <c r="F285" s="5"/>
    </row>
    <row r="286" spans="1:6" ht="14.5" x14ac:dyDescent="0.35">
      <c r="A286" s="5"/>
      <c r="B286" s="5"/>
      <c r="C286" s="5" t="s">
        <v>90</v>
      </c>
      <c r="D286" s="5"/>
      <c r="E286" s="52">
        <f t="shared" si="27"/>
        <v>0</v>
      </c>
      <c r="F286" s="5"/>
    </row>
    <row r="287" spans="1:6" ht="14.5" x14ac:dyDescent="0.35">
      <c r="A287" s="5"/>
      <c r="B287" s="5"/>
      <c r="C287" s="5" t="s">
        <v>90</v>
      </c>
      <c r="D287" s="5"/>
      <c r="E287" s="52">
        <f t="shared" si="27"/>
        <v>0</v>
      </c>
      <c r="F287" s="5"/>
    </row>
    <row r="288" spans="1:6" ht="14.5" x14ac:dyDescent="0.35">
      <c r="A288" s="5"/>
      <c r="B288" s="5"/>
      <c r="C288" s="5"/>
      <c r="D288" s="5"/>
      <c r="E288" s="5"/>
      <c r="F288" s="5"/>
    </row>
    <row r="289" spans="1:6" ht="14.5" x14ac:dyDescent="0.35">
      <c r="A289" s="1" t="s">
        <v>303</v>
      </c>
      <c r="B289" s="1"/>
      <c r="C289" s="1"/>
      <c r="D289" s="1"/>
      <c r="E289" s="1"/>
      <c r="F289" s="51">
        <f>SUM(E291:E299)</f>
        <v>3689.0364583333335</v>
      </c>
    </row>
    <row r="290" spans="1:6" ht="14.5" x14ac:dyDescent="0.35">
      <c r="A290" s="5"/>
      <c r="B290" s="5" t="s">
        <v>2</v>
      </c>
      <c r="C290" s="5"/>
      <c r="D290" s="5" t="s">
        <v>3</v>
      </c>
      <c r="E290" s="5" t="s">
        <v>4</v>
      </c>
      <c r="F290" s="5"/>
    </row>
    <row r="291" spans="1:6" ht="14.5" x14ac:dyDescent="0.35">
      <c r="A291" s="5" t="s">
        <v>304</v>
      </c>
      <c r="B291" s="52">
        <f>1/3</f>
        <v>0.33333333333333331</v>
      </c>
      <c r="C291" s="5" t="s">
        <v>174</v>
      </c>
      <c r="D291" s="53">
        <v>10200</v>
      </c>
      <c r="E291" s="52">
        <f t="shared" ref="E291:E299" si="28">B291*D291</f>
        <v>3400</v>
      </c>
      <c r="F291" s="5"/>
    </row>
    <row r="292" spans="1:6" ht="14.5" x14ac:dyDescent="0.35">
      <c r="A292" s="5"/>
      <c r="B292" s="52"/>
      <c r="C292" s="5"/>
      <c r="D292" s="53"/>
      <c r="E292" s="52"/>
      <c r="F292" s="5"/>
    </row>
    <row r="293" spans="1:6" ht="15.75" customHeight="1" x14ac:dyDescent="0.55000000000000004">
      <c r="A293" s="5" t="s">
        <v>89</v>
      </c>
      <c r="B293" s="52">
        <v>0.01</v>
      </c>
      <c r="C293" s="5" t="s">
        <v>119</v>
      </c>
      <c r="D293" s="54">
        <f>'PH Umum 2024'!F37</f>
        <v>28903.645833333332</v>
      </c>
      <c r="E293" s="52">
        <f t="shared" si="28"/>
        <v>289.03645833333331</v>
      </c>
      <c r="F293" s="5"/>
    </row>
    <row r="294" spans="1:6" ht="14.5" x14ac:dyDescent="0.35">
      <c r="A294" s="5"/>
      <c r="B294" s="5"/>
      <c r="C294" s="5"/>
      <c r="D294" s="5"/>
      <c r="E294" s="52">
        <f t="shared" si="28"/>
        <v>0</v>
      </c>
      <c r="F294" s="5"/>
    </row>
    <row r="295" spans="1:6" ht="14.5" x14ac:dyDescent="0.35">
      <c r="A295" s="5"/>
      <c r="B295" s="5"/>
      <c r="C295" s="5"/>
      <c r="D295" s="5"/>
      <c r="E295" s="52">
        <f t="shared" si="28"/>
        <v>0</v>
      </c>
      <c r="F295" s="5"/>
    </row>
    <row r="296" spans="1:6" ht="14.5" x14ac:dyDescent="0.35">
      <c r="A296" s="5"/>
      <c r="B296" s="5"/>
      <c r="C296" s="5"/>
      <c r="D296" s="5"/>
      <c r="E296" s="52">
        <f t="shared" si="28"/>
        <v>0</v>
      </c>
      <c r="F296" s="5"/>
    </row>
    <row r="297" spans="1:6" ht="14.5" x14ac:dyDescent="0.35">
      <c r="A297" s="5"/>
      <c r="B297" s="5"/>
      <c r="C297" s="5"/>
      <c r="D297" s="5"/>
      <c r="E297" s="52">
        <f t="shared" si="28"/>
        <v>0</v>
      </c>
      <c r="F297" s="5"/>
    </row>
    <row r="298" spans="1:6" ht="14.5" x14ac:dyDescent="0.35">
      <c r="A298" s="5"/>
      <c r="B298" s="5"/>
      <c r="C298" s="5"/>
      <c r="D298" s="5"/>
      <c r="E298" s="52">
        <f t="shared" si="28"/>
        <v>0</v>
      </c>
      <c r="F298" s="5"/>
    </row>
    <row r="299" spans="1:6" ht="14.5" x14ac:dyDescent="0.35">
      <c r="A299" s="5"/>
      <c r="B299" s="5"/>
      <c r="C299" s="5"/>
      <c r="D299" s="5"/>
      <c r="E299" s="52">
        <f t="shared" si="28"/>
        <v>0</v>
      </c>
      <c r="F299" s="5"/>
    </row>
    <row r="300" spans="1:6" ht="14.5" x14ac:dyDescent="0.35">
      <c r="A300" s="5"/>
      <c r="B300" s="5"/>
      <c r="C300" s="5"/>
      <c r="D300" s="5"/>
      <c r="E300" s="5"/>
      <c r="F300" s="5"/>
    </row>
    <row r="301" spans="1:6" ht="14.5" x14ac:dyDescent="0.35">
      <c r="A301" s="1" t="s">
        <v>122</v>
      </c>
      <c r="B301" s="1"/>
      <c r="C301" s="1"/>
      <c r="D301" s="1"/>
      <c r="E301" s="1"/>
      <c r="F301" s="51">
        <f>SUM(E303:E311)</f>
        <v>0</v>
      </c>
    </row>
    <row r="302" spans="1:6" ht="14.5" x14ac:dyDescent="0.35">
      <c r="A302" s="5"/>
      <c r="B302" s="5" t="s">
        <v>2</v>
      </c>
      <c r="C302" s="5"/>
      <c r="D302" s="5" t="s">
        <v>3</v>
      </c>
      <c r="E302" s="5" t="s">
        <v>4</v>
      </c>
      <c r="F302" s="5"/>
    </row>
    <row r="303" spans="1:6" ht="14.5" x14ac:dyDescent="0.35">
      <c r="A303" s="5"/>
      <c r="B303" s="5"/>
      <c r="C303" s="5" t="s">
        <v>90</v>
      </c>
      <c r="D303" s="5"/>
      <c r="E303" s="52">
        <f t="shared" ref="E303:E311" si="29">B303*D303</f>
        <v>0</v>
      </c>
      <c r="F303" s="5"/>
    </row>
    <row r="304" spans="1:6" ht="14.5" x14ac:dyDescent="0.35">
      <c r="A304" s="5"/>
      <c r="B304" s="5"/>
      <c r="C304" s="5" t="s">
        <v>90</v>
      </c>
      <c r="D304" s="5"/>
      <c r="E304" s="52">
        <f t="shared" si="29"/>
        <v>0</v>
      </c>
      <c r="F304" s="5"/>
    </row>
    <row r="305" spans="1:6" ht="14.5" x14ac:dyDescent="0.35">
      <c r="A305" s="5"/>
      <c r="B305" s="5"/>
      <c r="C305" s="5" t="s">
        <v>90</v>
      </c>
      <c r="D305" s="5"/>
      <c r="E305" s="52">
        <f t="shared" si="29"/>
        <v>0</v>
      </c>
      <c r="F305" s="5"/>
    </row>
    <row r="306" spans="1:6" ht="14.5" x14ac:dyDescent="0.35">
      <c r="A306" s="5"/>
      <c r="B306" s="5"/>
      <c r="C306" s="5" t="s">
        <v>90</v>
      </c>
      <c r="D306" s="5"/>
      <c r="E306" s="52">
        <f t="shared" si="29"/>
        <v>0</v>
      </c>
      <c r="F306" s="5"/>
    </row>
    <row r="307" spans="1:6" ht="14.5" x14ac:dyDescent="0.35">
      <c r="A307" s="5"/>
      <c r="B307" s="5"/>
      <c r="C307" s="5" t="s">
        <v>90</v>
      </c>
      <c r="D307" s="5"/>
      <c r="E307" s="52">
        <f t="shared" si="29"/>
        <v>0</v>
      </c>
      <c r="F307" s="5"/>
    </row>
    <row r="308" spans="1:6" ht="14.5" x14ac:dyDescent="0.35">
      <c r="A308" s="5"/>
      <c r="B308" s="5"/>
      <c r="C308" s="5" t="s">
        <v>90</v>
      </c>
      <c r="D308" s="5"/>
      <c r="E308" s="52">
        <f t="shared" si="29"/>
        <v>0</v>
      </c>
      <c r="F308" s="5"/>
    </row>
    <row r="309" spans="1:6" ht="14.5" x14ac:dyDescent="0.35">
      <c r="A309" s="5"/>
      <c r="B309" s="5"/>
      <c r="C309" s="5" t="s">
        <v>90</v>
      </c>
      <c r="D309" s="5"/>
      <c r="E309" s="52">
        <f t="shared" si="29"/>
        <v>0</v>
      </c>
      <c r="F309" s="5"/>
    </row>
    <row r="310" spans="1:6" ht="14.5" x14ac:dyDescent="0.35">
      <c r="A310" s="5"/>
      <c r="B310" s="5"/>
      <c r="C310" s="5" t="s">
        <v>90</v>
      </c>
      <c r="D310" s="5"/>
      <c r="E310" s="52">
        <f t="shared" si="29"/>
        <v>0</v>
      </c>
      <c r="F310" s="5"/>
    </row>
    <row r="311" spans="1:6" ht="14.5" x14ac:dyDescent="0.35">
      <c r="A311" s="5"/>
      <c r="B311" s="5"/>
      <c r="C311" s="5" t="s">
        <v>90</v>
      </c>
      <c r="D311" s="5"/>
      <c r="E311" s="52">
        <f t="shared" si="29"/>
        <v>0</v>
      </c>
      <c r="F311" s="5"/>
    </row>
    <row r="312" spans="1:6" ht="14.5" x14ac:dyDescent="0.35">
      <c r="A312" s="5"/>
      <c r="B312" s="5"/>
      <c r="C312" s="5"/>
      <c r="D312" s="5"/>
      <c r="E312" s="5"/>
      <c r="F312" s="5"/>
    </row>
    <row r="313" spans="1:6" ht="14.5" x14ac:dyDescent="0.35">
      <c r="A313" s="1" t="s">
        <v>122</v>
      </c>
      <c r="B313" s="1"/>
      <c r="C313" s="1"/>
      <c r="D313" s="1"/>
      <c r="E313" s="1"/>
      <c r="F313" s="51">
        <f>SUM(E315:E323)</f>
        <v>0</v>
      </c>
    </row>
    <row r="314" spans="1:6" ht="14.5" x14ac:dyDescent="0.35">
      <c r="A314" s="5"/>
      <c r="B314" s="5" t="s">
        <v>2</v>
      </c>
      <c r="C314" s="5"/>
      <c r="D314" s="5" t="s">
        <v>3</v>
      </c>
      <c r="E314" s="5" t="s">
        <v>4</v>
      </c>
      <c r="F314" s="5"/>
    </row>
    <row r="315" spans="1:6" ht="14.5" x14ac:dyDescent="0.35">
      <c r="A315" s="5"/>
      <c r="B315" s="5"/>
      <c r="C315" s="5" t="s">
        <v>90</v>
      </c>
      <c r="D315" s="5"/>
      <c r="E315" s="52">
        <f t="shared" ref="E315:E323" si="30">B315*D315</f>
        <v>0</v>
      </c>
      <c r="F315" s="5"/>
    </row>
    <row r="316" spans="1:6" ht="14.5" x14ac:dyDescent="0.35">
      <c r="A316" s="5"/>
      <c r="B316" s="5"/>
      <c r="C316" s="5" t="s">
        <v>90</v>
      </c>
      <c r="D316" s="5"/>
      <c r="E316" s="52">
        <f t="shared" si="30"/>
        <v>0</v>
      </c>
      <c r="F316" s="5"/>
    </row>
    <row r="317" spans="1:6" ht="14.5" x14ac:dyDescent="0.35">
      <c r="A317" s="5"/>
      <c r="B317" s="5"/>
      <c r="C317" s="5" t="s">
        <v>90</v>
      </c>
      <c r="D317" s="5"/>
      <c r="E317" s="52">
        <f t="shared" si="30"/>
        <v>0</v>
      </c>
      <c r="F317" s="5"/>
    </row>
    <row r="318" spans="1:6" ht="14.5" x14ac:dyDescent="0.35">
      <c r="A318" s="5"/>
      <c r="B318" s="5"/>
      <c r="C318" s="5" t="s">
        <v>90</v>
      </c>
      <c r="D318" s="5"/>
      <c r="E318" s="52">
        <f t="shared" si="30"/>
        <v>0</v>
      </c>
      <c r="F318" s="5"/>
    </row>
    <row r="319" spans="1:6" ht="14.5" x14ac:dyDescent="0.35">
      <c r="A319" s="5"/>
      <c r="B319" s="5"/>
      <c r="C319" s="5" t="s">
        <v>90</v>
      </c>
      <c r="D319" s="5"/>
      <c r="E319" s="52">
        <f t="shared" si="30"/>
        <v>0</v>
      </c>
      <c r="F319" s="5"/>
    </row>
    <row r="320" spans="1:6" ht="14.5" x14ac:dyDescent="0.35">
      <c r="A320" s="5"/>
      <c r="B320" s="5"/>
      <c r="C320" s="5" t="s">
        <v>90</v>
      </c>
      <c r="D320" s="5"/>
      <c r="E320" s="52">
        <f t="shared" si="30"/>
        <v>0</v>
      </c>
      <c r="F320" s="5"/>
    </row>
    <row r="321" spans="1:6" ht="14.5" x14ac:dyDescent="0.35">
      <c r="A321" s="5"/>
      <c r="B321" s="5"/>
      <c r="C321" s="5" t="s">
        <v>90</v>
      </c>
      <c r="D321" s="5"/>
      <c r="E321" s="52">
        <f t="shared" si="30"/>
        <v>0</v>
      </c>
      <c r="F321" s="5"/>
    </row>
    <row r="322" spans="1:6" ht="14.5" x14ac:dyDescent="0.35">
      <c r="A322" s="5"/>
      <c r="B322" s="5"/>
      <c r="C322" s="5" t="s">
        <v>90</v>
      </c>
      <c r="D322" s="5"/>
      <c r="E322" s="52">
        <f t="shared" si="30"/>
        <v>0</v>
      </c>
      <c r="F322" s="5"/>
    </row>
    <row r="323" spans="1:6" ht="14.5" x14ac:dyDescent="0.35">
      <c r="A323" s="5"/>
      <c r="B323" s="5"/>
      <c r="C323" s="5" t="s">
        <v>90</v>
      </c>
      <c r="D323" s="5"/>
      <c r="E323" s="52">
        <f t="shared" si="30"/>
        <v>0</v>
      </c>
      <c r="F323" s="5"/>
    </row>
    <row r="324" spans="1:6" ht="14.5" x14ac:dyDescent="0.35">
      <c r="A324" s="5"/>
      <c r="B324" s="5"/>
      <c r="C324" s="5"/>
      <c r="D324" s="5"/>
      <c r="E324" s="5"/>
      <c r="F324" s="5"/>
    </row>
    <row r="325" spans="1:6" ht="14.5" x14ac:dyDescent="0.35">
      <c r="A325" s="1" t="s">
        <v>122</v>
      </c>
      <c r="B325" s="1"/>
      <c r="C325" s="1"/>
      <c r="D325" s="1"/>
      <c r="E325" s="1"/>
      <c r="F325" s="51">
        <f>SUM(E327:E335)</f>
        <v>0</v>
      </c>
    </row>
    <row r="326" spans="1:6" ht="14.5" x14ac:dyDescent="0.35">
      <c r="A326" s="5"/>
      <c r="B326" s="5" t="s">
        <v>2</v>
      </c>
      <c r="C326" s="5"/>
      <c r="D326" s="5" t="s">
        <v>3</v>
      </c>
      <c r="E326" s="5" t="s">
        <v>4</v>
      </c>
      <c r="F326" s="5"/>
    </row>
    <row r="327" spans="1:6" ht="14.5" x14ac:dyDescent="0.35">
      <c r="A327" s="5"/>
      <c r="B327" s="5"/>
      <c r="C327" s="5" t="s">
        <v>90</v>
      </c>
      <c r="D327" s="5"/>
      <c r="E327" s="52">
        <f t="shared" ref="E327:E335" si="31">B327*D327</f>
        <v>0</v>
      </c>
      <c r="F327" s="5"/>
    </row>
    <row r="328" spans="1:6" ht="14.5" x14ac:dyDescent="0.35">
      <c r="A328" s="5"/>
      <c r="B328" s="5"/>
      <c r="C328" s="5" t="s">
        <v>90</v>
      </c>
      <c r="D328" s="5"/>
      <c r="E328" s="52">
        <f t="shared" si="31"/>
        <v>0</v>
      </c>
      <c r="F328" s="5"/>
    </row>
    <row r="329" spans="1:6" ht="14.5" x14ac:dyDescent="0.35">
      <c r="A329" s="5"/>
      <c r="B329" s="5"/>
      <c r="C329" s="5" t="s">
        <v>90</v>
      </c>
      <c r="D329" s="5"/>
      <c r="E329" s="52">
        <f t="shared" si="31"/>
        <v>0</v>
      </c>
      <c r="F329" s="5"/>
    </row>
    <row r="330" spans="1:6" ht="14.5" x14ac:dyDescent="0.35">
      <c r="A330" s="5"/>
      <c r="B330" s="5"/>
      <c r="C330" s="5" t="s">
        <v>90</v>
      </c>
      <c r="D330" s="5"/>
      <c r="E330" s="52">
        <f t="shared" si="31"/>
        <v>0</v>
      </c>
      <c r="F330" s="5"/>
    </row>
    <row r="331" spans="1:6" ht="14.5" x14ac:dyDescent="0.35">
      <c r="A331" s="5"/>
      <c r="B331" s="5"/>
      <c r="C331" s="5" t="s">
        <v>90</v>
      </c>
      <c r="D331" s="5"/>
      <c r="E331" s="52">
        <f t="shared" si="31"/>
        <v>0</v>
      </c>
      <c r="F331" s="5"/>
    </row>
    <row r="332" spans="1:6" ht="14.5" x14ac:dyDescent="0.35">
      <c r="A332" s="5"/>
      <c r="B332" s="5"/>
      <c r="C332" s="5" t="s">
        <v>90</v>
      </c>
      <c r="D332" s="5"/>
      <c r="E332" s="52">
        <f t="shared" si="31"/>
        <v>0</v>
      </c>
      <c r="F332" s="5"/>
    </row>
    <row r="333" spans="1:6" ht="14.5" x14ac:dyDescent="0.35">
      <c r="A333" s="5"/>
      <c r="B333" s="5"/>
      <c r="C333" s="5" t="s">
        <v>90</v>
      </c>
      <c r="D333" s="5"/>
      <c r="E333" s="52">
        <f t="shared" si="31"/>
        <v>0</v>
      </c>
      <c r="F333" s="5"/>
    </row>
    <row r="334" spans="1:6" ht="14.5" x14ac:dyDescent="0.35">
      <c r="A334" s="5"/>
      <c r="B334" s="5"/>
      <c r="C334" s="5" t="s">
        <v>90</v>
      </c>
      <c r="D334" s="5"/>
      <c r="E334" s="52">
        <f t="shared" si="31"/>
        <v>0</v>
      </c>
      <c r="F334" s="5"/>
    </row>
    <row r="335" spans="1:6" ht="14.5" x14ac:dyDescent="0.35">
      <c r="A335" s="5"/>
      <c r="B335" s="5"/>
      <c r="C335" s="5" t="s">
        <v>90</v>
      </c>
      <c r="D335" s="5"/>
      <c r="E335" s="52">
        <f t="shared" si="31"/>
        <v>0</v>
      </c>
      <c r="F335" s="5"/>
    </row>
    <row r="336" spans="1:6" ht="14.5" x14ac:dyDescent="0.35">
      <c r="A336" s="5"/>
      <c r="B336" s="5"/>
      <c r="C336" s="5"/>
      <c r="D336" s="5"/>
      <c r="E336" s="5"/>
      <c r="F336" s="5"/>
    </row>
    <row r="337" spans="1:6" ht="14.5" x14ac:dyDescent="0.35">
      <c r="A337" s="1" t="s">
        <v>163</v>
      </c>
      <c r="B337" s="1"/>
      <c r="C337" s="1"/>
      <c r="D337" s="1"/>
      <c r="E337" s="1"/>
      <c r="F337" s="51">
        <f>SUM(E339:E347)</f>
        <v>7824.036458333333</v>
      </c>
    </row>
    <row r="338" spans="1:6" ht="14.5" x14ac:dyDescent="0.35">
      <c r="A338" s="5"/>
      <c r="B338" s="5" t="s">
        <v>2</v>
      </c>
      <c r="C338" s="5"/>
      <c r="D338" s="5" t="s">
        <v>3</v>
      </c>
      <c r="E338" s="5" t="s">
        <v>4</v>
      </c>
      <c r="F338" s="5"/>
    </row>
    <row r="339" spans="1:6" ht="14.5" x14ac:dyDescent="0.35">
      <c r="A339" s="5" t="s">
        <v>164</v>
      </c>
      <c r="B339" s="52">
        <v>0.01</v>
      </c>
      <c r="C339" s="5" t="s">
        <v>130</v>
      </c>
      <c r="D339" s="52">
        <v>750000</v>
      </c>
      <c r="E339" s="52">
        <f t="shared" ref="E339:E347" si="32">B339*D339</f>
        <v>7500</v>
      </c>
      <c r="F339" s="5"/>
    </row>
    <row r="340" spans="1:6" ht="14.5" x14ac:dyDescent="0.35">
      <c r="A340" s="5" t="s">
        <v>153</v>
      </c>
      <c r="B340" s="52">
        <v>1</v>
      </c>
      <c r="C340" s="5" t="s">
        <v>62</v>
      </c>
      <c r="D340" s="52">
        <v>35</v>
      </c>
      <c r="E340" s="52">
        <f t="shared" si="32"/>
        <v>35</v>
      </c>
      <c r="F340" s="5"/>
    </row>
    <row r="341" spans="1:6" ht="15.75" customHeight="1" x14ac:dyDescent="0.55000000000000004">
      <c r="A341" s="5" t="s">
        <v>89</v>
      </c>
      <c r="B341" s="52">
        <v>0.01</v>
      </c>
      <c r="C341" s="5" t="s">
        <v>119</v>
      </c>
      <c r="D341" s="54">
        <f>'PH Umum 2024'!F37</f>
        <v>28903.645833333332</v>
      </c>
      <c r="E341" s="52">
        <f t="shared" si="32"/>
        <v>289.03645833333331</v>
      </c>
      <c r="F341" s="5"/>
    </row>
    <row r="342" spans="1:6" ht="14.5" x14ac:dyDescent="0.35">
      <c r="A342" s="5"/>
      <c r="B342" s="5"/>
      <c r="C342" s="5"/>
      <c r="D342" s="5"/>
      <c r="E342" s="52">
        <f t="shared" si="32"/>
        <v>0</v>
      </c>
      <c r="F342" s="5"/>
    </row>
    <row r="343" spans="1:6" ht="14.5" x14ac:dyDescent="0.35">
      <c r="A343" s="5"/>
      <c r="B343" s="5"/>
      <c r="C343" s="5"/>
      <c r="D343" s="5"/>
      <c r="E343" s="52">
        <f t="shared" si="32"/>
        <v>0</v>
      </c>
      <c r="F343" s="5"/>
    </row>
    <row r="344" spans="1:6" ht="14.5" x14ac:dyDescent="0.35">
      <c r="A344" s="5"/>
      <c r="B344" s="5"/>
      <c r="C344" s="5"/>
      <c r="D344" s="5"/>
      <c r="E344" s="52">
        <f t="shared" si="32"/>
        <v>0</v>
      </c>
      <c r="F344" s="5"/>
    </row>
    <row r="345" spans="1:6" ht="14.5" x14ac:dyDescent="0.35">
      <c r="A345" s="5"/>
      <c r="B345" s="5"/>
      <c r="C345" s="5"/>
      <c r="D345" s="5"/>
      <c r="E345" s="52">
        <f t="shared" si="32"/>
        <v>0</v>
      </c>
      <c r="F345" s="5"/>
    </row>
    <row r="346" spans="1:6" ht="14.5" x14ac:dyDescent="0.35">
      <c r="A346" s="5"/>
      <c r="B346" s="5"/>
      <c r="C346" s="5"/>
      <c r="D346" s="5"/>
      <c r="E346" s="52">
        <f t="shared" si="32"/>
        <v>0</v>
      </c>
      <c r="F346" s="5"/>
    </row>
    <row r="347" spans="1:6" ht="14.5" x14ac:dyDescent="0.35">
      <c r="A347" s="5"/>
      <c r="B347" s="5"/>
      <c r="C347" s="5"/>
      <c r="D347" s="5"/>
      <c r="E347" s="52">
        <f t="shared" si="32"/>
        <v>0</v>
      </c>
      <c r="F347" s="5"/>
    </row>
    <row r="348" spans="1:6" ht="14.5" x14ac:dyDescent="0.35">
      <c r="A348" s="5"/>
      <c r="B348" s="5"/>
      <c r="C348" s="5"/>
      <c r="D348" s="5"/>
      <c r="E348" s="5"/>
      <c r="F348" s="5"/>
    </row>
    <row r="349" spans="1:6" ht="14.5" x14ac:dyDescent="0.35">
      <c r="A349" s="1" t="s">
        <v>165</v>
      </c>
      <c r="B349" s="1"/>
      <c r="C349" s="1"/>
      <c r="D349" s="1"/>
      <c r="E349" s="1"/>
      <c r="F349" s="51">
        <f>SUM(E351:E359)</f>
        <v>1124.0364583333333</v>
      </c>
    </row>
    <row r="350" spans="1:6" ht="14.5" x14ac:dyDescent="0.35">
      <c r="A350" s="5"/>
      <c r="B350" s="5" t="s">
        <v>2</v>
      </c>
      <c r="C350" s="5"/>
      <c r="D350" s="5" t="s">
        <v>3</v>
      </c>
      <c r="E350" s="5" t="s">
        <v>4</v>
      </c>
      <c r="F350" s="5"/>
    </row>
    <row r="351" spans="1:6" ht="14.5" x14ac:dyDescent="0.35">
      <c r="A351" s="5" t="s">
        <v>166</v>
      </c>
      <c r="B351" s="52">
        <v>0.01</v>
      </c>
      <c r="C351" s="5" t="s">
        <v>130</v>
      </c>
      <c r="D351" s="53">
        <v>80000</v>
      </c>
      <c r="E351" s="52">
        <f t="shared" ref="E351:E359" si="33">B351*D351</f>
        <v>800</v>
      </c>
      <c r="F351" s="5"/>
    </row>
    <row r="352" spans="1:6" ht="14.5" x14ac:dyDescent="0.35">
      <c r="A352" s="5" t="s">
        <v>153</v>
      </c>
      <c r="B352" s="52">
        <v>1</v>
      </c>
      <c r="C352" s="5" t="s">
        <v>62</v>
      </c>
      <c r="D352" s="52">
        <v>35</v>
      </c>
      <c r="E352" s="52">
        <f t="shared" si="33"/>
        <v>35</v>
      </c>
      <c r="F352" s="5"/>
    </row>
    <row r="353" spans="1:6" ht="15.75" customHeight="1" x14ac:dyDescent="0.55000000000000004">
      <c r="A353" s="5" t="s">
        <v>89</v>
      </c>
      <c r="B353" s="52">
        <v>0.01</v>
      </c>
      <c r="C353" s="5" t="s">
        <v>119</v>
      </c>
      <c r="D353" s="54">
        <f>'PH Umum 2024'!F37</f>
        <v>28903.645833333332</v>
      </c>
      <c r="E353" s="52">
        <f t="shared" si="33"/>
        <v>289.03645833333331</v>
      </c>
      <c r="F353" s="5"/>
    </row>
    <row r="354" spans="1:6" ht="14.5" x14ac:dyDescent="0.35">
      <c r="A354" s="5"/>
      <c r="B354" s="5"/>
      <c r="C354" s="5"/>
      <c r="D354" s="5"/>
      <c r="E354" s="52">
        <f t="shared" si="33"/>
        <v>0</v>
      </c>
      <c r="F354" s="5"/>
    </row>
    <row r="355" spans="1:6" ht="14.5" x14ac:dyDescent="0.35">
      <c r="A355" s="5"/>
      <c r="B355" s="5"/>
      <c r="C355" s="5"/>
      <c r="D355" s="5"/>
      <c r="E355" s="52">
        <f t="shared" si="33"/>
        <v>0</v>
      </c>
      <c r="F355" s="5"/>
    </row>
    <row r="356" spans="1:6" ht="14.5" x14ac:dyDescent="0.35">
      <c r="A356" s="5"/>
      <c r="B356" s="5"/>
      <c r="C356" s="5"/>
      <c r="D356" s="5"/>
      <c r="E356" s="52">
        <f t="shared" si="33"/>
        <v>0</v>
      </c>
      <c r="F356" s="5"/>
    </row>
    <row r="357" spans="1:6" ht="14.5" x14ac:dyDescent="0.35">
      <c r="A357" s="5"/>
      <c r="B357" s="5"/>
      <c r="C357" s="5"/>
      <c r="D357" s="5"/>
      <c r="E357" s="52">
        <f t="shared" si="33"/>
        <v>0</v>
      </c>
      <c r="F357" s="5"/>
    </row>
    <row r="358" spans="1:6" ht="14.5" x14ac:dyDescent="0.35">
      <c r="A358" s="5"/>
      <c r="B358" s="5"/>
      <c r="C358" s="5"/>
      <c r="D358" s="5"/>
      <c r="E358" s="52">
        <f t="shared" si="33"/>
        <v>0</v>
      </c>
      <c r="F358" s="5"/>
    </row>
    <row r="359" spans="1:6" ht="14.5" x14ac:dyDescent="0.35">
      <c r="A359" s="5"/>
      <c r="B359" s="5"/>
      <c r="C359" s="5"/>
      <c r="D359" s="5"/>
      <c r="E359" s="52">
        <f t="shared" si="33"/>
        <v>0</v>
      </c>
      <c r="F359" s="5"/>
    </row>
    <row r="360" spans="1:6" ht="14.5" x14ac:dyDescent="0.35">
      <c r="A360" s="5"/>
      <c r="B360" s="5"/>
      <c r="C360" s="5"/>
      <c r="D360" s="5"/>
      <c r="E360" s="5"/>
      <c r="F360" s="5"/>
    </row>
    <row r="361" spans="1:6" ht="14.5" x14ac:dyDescent="0.35">
      <c r="A361" s="1" t="s">
        <v>122</v>
      </c>
      <c r="B361" s="1"/>
      <c r="C361" s="1"/>
      <c r="D361" s="1"/>
      <c r="E361" s="1"/>
      <c r="F361" s="51">
        <f>SUM(E363:E371)</f>
        <v>0</v>
      </c>
    </row>
    <row r="362" spans="1:6" ht="14.5" x14ac:dyDescent="0.35">
      <c r="A362" s="5"/>
      <c r="B362" s="5" t="s">
        <v>2</v>
      </c>
      <c r="C362" s="5"/>
      <c r="D362" s="5" t="s">
        <v>3</v>
      </c>
      <c r="E362" s="5" t="s">
        <v>4</v>
      </c>
      <c r="F362" s="5"/>
    </row>
    <row r="363" spans="1:6" ht="14.5" x14ac:dyDescent="0.35">
      <c r="A363" s="5"/>
      <c r="B363" s="5"/>
      <c r="C363" s="5" t="s">
        <v>90</v>
      </c>
      <c r="D363" s="5"/>
      <c r="E363" s="52">
        <f t="shared" ref="E363:E371" si="34">B363*D363</f>
        <v>0</v>
      </c>
      <c r="F363" s="5"/>
    </row>
    <row r="364" spans="1:6" ht="14.5" x14ac:dyDescent="0.35">
      <c r="A364" s="5"/>
      <c r="B364" s="5"/>
      <c r="C364" s="5" t="s">
        <v>90</v>
      </c>
      <c r="D364" s="5"/>
      <c r="E364" s="52">
        <f t="shared" si="34"/>
        <v>0</v>
      </c>
      <c r="F364" s="5"/>
    </row>
    <row r="365" spans="1:6" ht="14.5" x14ac:dyDescent="0.35">
      <c r="A365" s="5"/>
      <c r="B365" s="5"/>
      <c r="C365" s="5" t="s">
        <v>90</v>
      </c>
      <c r="D365" s="5"/>
      <c r="E365" s="52">
        <f t="shared" si="34"/>
        <v>0</v>
      </c>
      <c r="F365" s="5"/>
    </row>
    <row r="366" spans="1:6" ht="14.5" x14ac:dyDescent="0.35">
      <c r="A366" s="5"/>
      <c r="B366" s="5"/>
      <c r="C366" s="5" t="s">
        <v>90</v>
      </c>
      <c r="D366" s="5"/>
      <c r="E366" s="52">
        <f t="shared" si="34"/>
        <v>0</v>
      </c>
      <c r="F366" s="5"/>
    </row>
    <row r="367" spans="1:6" ht="14.5" x14ac:dyDescent="0.35">
      <c r="A367" s="5"/>
      <c r="B367" s="5"/>
      <c r="C367" s="5" t="s">
        <v>90</v>
      </c>
      <c r="D367" s="5"/>
      <c r="E367" s="52">
        <f t="shared" si="34"/>
        <v>0</v>
      </c>
      <c r="F367" s="5"/>
    </row>
    <row r="368" spans="1:6" ht="14.5" x14ac:dyDescent="0.35">
      <c r="A368" s="5"/>
      <c r="B368" s="5"/>
      <c r="C368" s="5" t="s">
        <v>90</v>
      </c>
      <c r="D368" s="5"/>
      <c r="E368" s="52">
        <f t="shared" si="34"/>
        <v>0</v>
      </c>
      <c r="F368" s="5"/>
    </row>
    <row r="369" spans="1:6" ht="14.5" x14ac:dyDescent="0.35">
      <c r="A369" s="5"/>
      <c r="B369" s="5"/>
      <c r="C369" s="5" t="s">
        <v>90</v>
      </c>
      <c r="D369" s="5"/>
      <c r="E369" s="52">
        <f t="shared" si="34"/>
        <v>0</v>
      </c>
      <c r="F369" s="5"/>
    </row>
    <row r="370" spans="1:6" ht="14.5" x14ac:dyDescent="0.35">
      <c r="A370" s="5"/>
      <c r="B370" s="5"/>
      <c r="C370" s="5" t="s">
        <v>90</v>
      </c>
      <c r="D370" s="5"/>
      <c r="E370" s="52">
        <f t="shared" si="34"/>
        <v>0</v>
      </c>
      <c r="F370" s="5"/>
    </row>
    <row r="371" spans="1:6" ht="14.5" x14ac:dyDescent="0.35">
      <c r="A371" s="5"/>
      <c r="B371" s="5"/>
      <c r="C371" s="5" t="s">
        <v>90</v>
      </c>
      <c r="D371" s="5"/>
      <c r="E371" s="52">
        <f t="shared" si="34"/>
        <v>0</v>
      </c>
      <c r="F371" s="5"/>
    </row>
    <row r="372" spans="1:6" ht="14.5" x14ac:dyDescent="0.35">
      <c r="A372" s="5"/>
      <c r="B372" s="5"/>
      <c r="C372" s="5"/>
      <c r="D372" s="5"/>
      <c r="E372" s="5"/>
      <c r="F372" s="5"/>
    </row>
    <row r="373" spans="1:6" ht="14.5" x14ac:dyDescent="0.35">
      <c r="A373" s="1" t="s">
        <v>122</v>
      </c>
      <c r="B373" s="1"/>
      <c r="C373" s="1"/>
      <c r="D373" s="1"/>
      <c r="E373" s="1"/>
      <c r="F373" s="51">
        <f>SUM(E375:E383)</f>
        <v>0</v>
      </c>
    </row>
    <row r="374" spans="1:6" ht="14.5" x14ac:dyDescent="0.35">
      <c r="A374" s="5"/>
      <c r="B374" s="5" t="s">
        <v>2</v>
      </c>
      <c r="C374" s="5"/>
      <c r="D374" s="5" t="s">
        <v>3</v>
      </c>
      <c r="E374" s="5" t="s">
        <v>4</v>
      </c>
      <c r="F374" s="5"/>
    </row>
    <row r="375" spans="1:6" ht="14.5" x14ac:dyDescent="0.35">
      <c r="A375" s="5"/>
      <c r="B375" s="5"/>
      <c r="C375" s="5" t="s">
        <v>90</v>
      </c>
      <c r="D375" s="5"/>
      <c r="E375" s="52">
        <f t="shared" ref="E375:E383" si="35">B375*D375</f>
        <v>0</v>
      </c>
      <c r="F375" s="5"/>
    </row>
    <row r="376" spans="1:6" ht="14.5" x14ac:dyDescent="0.35">
      <c r="A376" s="5"/>
      <c r="B376" s="5"/>
      <c r="C376" s="5" t="s">
        <v>90</v>
      </c>
      <c r="D376" s="5"/>
      <c r="E376" s="52">
        <f t="shared" si="35"/>
        <v>0</v>
      </c>
      <c r="F376" s="5"/>
    </row>
    <row r="377" spans="1:6" ht="14.5" x14ac:dyDescent="0.35">
      <c r="A377" s="5"/>
      <c r="B377" s="5"/>
      <c r="C377" s="5" t="s">
        <v>90</v>
      </c>
      <c r="D377" s="5"/>
      <c r="E377" s="52">
        <f t="shared" si="35"/>
        <v>0</v>
      </c>
      <c r="F377" s="5"/>
    </row>
    <row r="378" spans="1:6" ht="14.5" x14ac:dyDescent="0.35">
      <c r="A378" s="5"/>
      <c r="B378" s="5"/>
      <c r="C378" s="5" t="s">
        <v>90</v>
      </c>
      <c r="D378" s="5"/>
      <c r="E378" s="52">
        <f t="shared" si="35"/>
        <v>0</v>
      </c>
      <c r="F378" s="5"/>
    </row>
    <row r="379" spans="1:6" ht="14.5" x14ac:dyDescent="0.35">
      <c r="A379" s="5"/>
      <c r="B379" s="5"/>
      <c r="C379" s="5" t="s">
        <v>90</v>
      </c>
      <c r="D379" s="5"/>
      <c r="E379" s="52">
        <f t="shared" si="35"/>
        <v>0</v>
      </c>
      <c r="F379" s="5"/>
    </row>
    <row r="380" spans="1:6" ht="14.5" x14ac:dyDescent="0.35">
      <c r="A380" s="5"/>
      <c r="B380" s="5"/>
      <c r="C380" s="5" t="s">
        <v>90</v>
      </c>
      <c r="D380" s="5"/>
      <c r="E380" s="52">
        <f t="shared" si="35"/>
        <v>0</v>
      </c>
      <c r="F380" s="5"/>
    </row>
    <row r="381" spans="1:6" ht="14.5" x14ac:dyDescent="0.35">
      <c r="A381" s="5"/>
      <c r="B381" s="5"/>
      <c r="C381" s="5" t="s">
        <v>90</v>
      </c>
      <c r="D381" s="5"/>
      <c r="E381" s="52">
        <f t="shared" si="35"/>
        <v>0</v>
      </c>
      <c r="F381" s="5"/>
    </row>
    <row r="382" spans="1:6" ht="14.5" x14ac:dyDescent="0.35">
      <c r="A382" s="5"/>
      <c r="B382" s="5"/>
      <c r="C382" s="5" t="s">
        <v>90</v>
      </c>
      <c r="D382" s="5"/>
      <c r="E382" s="52">
        <f t="shared" si="35"/>
        <v>0</v>
      </c>
      <c r="F382" s="5"/>
    </row>
    <row r="383" spans="1:6" ht="14.5" x14ac:dyDescent="0.35">
      <c r="A383" s="5"/>
      <c r="B383" s="5"/>
      <c r="C383" s="5" t="s">
        <v>90</v>
      </c>
      <c r="D383" s="5"/>
      <c r="E383" s="52">
        <f t="shared" si="35"/>
        <v>0</v>
      </c>
      <c r="F383" s="5"/>
    </row>
    <row r="384" spans="1:6" ht="14.5" x14ac:dyDescent="0.35">
      <c r="A384" s="5"/>
      <c r="B384" s="5"/>
      <c r="C384" s="5"/>
      <c r="D384" s="5"/>
      <c r="E384" s="5"/>
      <c r="F384" s="5"/>
    </row>
    <row r="385" spans="1:6" ht="14.5" x14ac:dyDescent="0.35">
      <c r="A385" s="1" t="s">
        <v>122</v>
      </c>
      <c r="B385" s="1"/>
      <c r="C385" s="1"/>
      <c r="D385" s="1"/>
      <c r="E385" s="1"/>
      <c r="F385" s="51">
        <f>SUM(E387:E395)</f>
        <v>0</v>
      </c>
    </row>
    <row r="386" spans="1:6" ht="14.5" x14ac:dyDescent="0.35">
      <c r="A386" s="5"/>
      <c r="B386" s="5" t="s">
        <v>2</v>
      </c>
      <c r="C386" s="5"/>
      <c r="D386" s="5" t="s">
        <v>3</v>
      </c>
      <c r="E386" s="5" t="s">
        <v>4</v>
      </c>
      <c r="F386" s="5"/>
    </row>
    <row r="387" spans="1:6" ht="14.5" x14ac:dyDescent="0.35">
      <c r="A387" s="5"/>
      <c r="B387" s="5"/>
      <c r="C387" s="5" t="s">
        <v>90</v>
      </c>
      <c r="D387" s="5"/>
      <c r="E387" s="52">
        <f t="shared" ref="E387:E395" si="36">B387*D387</f>
        <v>0</v>
      </c>
      <c r="F387" s="5"/>
    </row>
    <row r="388" spans="1:6" ht="14.5" x14ac:dyDescent="0.35">
      <c r="A388" s="5"/>
      <c r="B388" s="5"/>
      <c r="C388" s="5" t="s">
        <v>90</v>
      </c>
      <c r="D388" s="5"/>
      <c r="E388" s="52">
        <f t="shared" si="36"/>
        <v>0</v>
      </c>
      <c r="F388" s="5"/>
    </row>
    <row r="389" spans="1:6" ht="14.5" x14ac:dyDescent="0.35">
      <c r="A389" s="5"/>
      <c r="B389" s="5"/>
      <c r="C389" s="5" t="s">
        <v>90</v>
      </c>
      <c r="D389" s="5"/>
      <c r="E389" s="52">
        <f t="shared" si="36"/>
        <v>0</v>
      </c>
      <c r="F389" s="5"/>
    </row>
    <row r="390" spans="1:6" ht="14.5" x14ac:dyDescent="0.35">
      <c r="A390" s="5"/>
      <c r="B390" s="5"/>
      <c r="C390" s="5" t="s">
        <v>90</v>
      </c>
      <c r="D390" s="5"/>
      <c r="E390" s="52">
        <f t="shared" si="36"/>
        <v>0</v>
      </c>
      <c r="F390" s="5"/>
    </row>
    <row r="391" spans="1:6" ht="14.5" x14ac:dyDescent="0.35">
      <c r="A391" s="5"/>
      <c r="B391" s="5"/>
      <c r="C391" s="5" t="s">
        <v>90</v>
      </c>
      <c r="D391" s="5"/>
      <c r="E391" s="52">
        <f t="shared" si="36"/>
        <v>0</v>
      </c>
      <c r="F391" s="5"/>
    </row>
    <row r="392" spans="1:6" ht="14.5" x14ac:dyDescent="0.35">
      <c r="A392" s="5"/>
      <c r="B392" s="5"/>
      <c r="C392" s="5" t="s">
        <v>90</v>
      </c>
      <c r="D392" s="5"/>
      <c r="E392" s="52">
        <f t="shared" si="36"/>
        <v>0</v>
      </c>
      <c r="F392" s="5"/>
    </row>
    <row r="393" spans="1:6" ht="14.5" x14ac:dyDescent="0.35">
      <c r="A393" s="5"/>
      <c r="B393" s="5"/>
      <c r="C393" s="5" t="s">
        <v>90</v>
      </c>
      <c r="D393" s="5"/>
      <c r="E393" s="52">
        <f t="shared" si="36"/>
        <v>0</v>
      </c>
      <c r="F393" s="5"/>
    </row>
    <row r="394" spans="1:6" ht="14.5" x14ac:dyDescent="0.35">
      <c r="A394" s="5"/>
      <c r="B394" s="5"/>
      <c r="C394" s="5" t="s">
        <v>90</v>
      </c>
      <c r="D394" s="5"/>
      <c r="E394" s="52">
        <f t="shared" si="36"/>
        <v>0</v>
      </c>
      <c r="F394" s="5"/>
    </row>
    <row r="395" spans="1:6" ht="14.5" x14ac:dyDescent="0.35">
      <c r="A395" s="5"/>
      <c r="B395" s="5"/>
      <c r="C395" s="5" t="s">
        <v>90</v>
      </c>
      <c r="D395" s="5"/>
      <c r="E395" s="52">
        <f t="shared" si="36"/>
        <v>0</v>
      </c>
      <c r="F395" s="5"/>
    </row>
    <row r="396" spans="1:6" ht="14.5" x14ac:dyDescent="0.35">
      <c r="A396" s="5"/>
      <c r="B396" s="5"/>
      <c r="C396" s="5"/>
      <c r="D396" s="5"/>
      <c r="E396" s="5"/>
      <c r="F396" s="5"/>
    </row>
    <row r="397" spans="1:6" ht="14.5" x14ac:dyDescent="0.35">
      <c r="A397" s="1" t="s">
        <v>167</v>
      </c>
      <c r="B397" s="1"/>
      <c r="C397" s="1"/>
      <c r="D397" s="1"/>
      <c r="E397" s="1"/>
      <c r="F397" s="51">
        <f>SUM(E399:E407)</f>
        <v>130879.42708333333</v>
      </c>
    </row>
    <row r="398" spans="1:6" ht="14.5" x14ac:dyDescent="0.35">
      <c r="A398" s="5"/>
      <c r="B398" s="5" t="s">
        <v>2</v>
      </c>
      <c r="C398" s="5"/>
      <c r="D398" s="5" t="s">
        <v>3</v>
      </c>
      <c r="E398" s="5" t="s">
        <v>4</v>
      </c>
      <c r="F398" s="5"/>
    </row>
    <row r="399" spans="1:6" ht="14.5" x14ac:dyDescent="0.35">
      <c r="A399" s="39" t="s">
        <v>167</v>
      </c>
      <c r="B399" s="52">
        <v>0.1</v>
      </c>
      <c r="C399" s="5" t="s">
        <v>136</v>
      </c>
      <c r="D399" s="52">
        <v>750000</v>
      </c>
      <c r="E399" s="52">
        <f t="shared" ref="E399:E407" si="37">B399*D399</f>
        <v>75000</v>
      </c>
      <c r="F399" s="5"/>
    </row>
    <row r="400" spans="1:6" ht="14.5" x14ac:dyDescent="0.35">
      <c r="A400" s="5" t="s">
        <v>161</v>
      </c>
      <c r="B400" s="53">
        <v>0.25</v>
      </c>
      <c r="C400" s="39" t="s">
        <v>168</v>
      </c>
      <c r="D400" s="53">
        <v>15500</v>
      </c>
      <c r="E400" s="52">
        <f t="shared" si="37"/>
        <v>3875</v>
      </c>
      <c r="F400" s="5"/>
    </row>
    <row r="401" spans="1:6" ht="14.5" x14ac:dyDescent="0.35">
      <c r="A401" s="5" t="s">
        <v>169</v>
      </c>
      <c r="B401" s="52">
        <v>1</v>
      </c>
      <c r="C401" s="5" t="s">
        <v>170</v>
      </c>
      <c r="D401" s="52">
        <v>10000</v>
      </c>
      <c r="E401" s="52">
        <f t="shared" si="37"/>
        <v>10000</v>
      </c>
      <c r="F401" s="5"/>
    </row>
    <row r="402" spans="1:6" ht="14.5" x14ac:dyDescent="0.35">
      <c r="A402" s="39" t="s">
        <v>171</v>
      </c>
      <c r="B402" s="53">
        <v>2</v>
      </c>
      <c r="C402" s="39" t="s">
        <v>172</v>
      </c>
      <c r="D402" s="53">
        <v>5000</v>
      </c>
      <c r="E402" s="52">
        <f t="shared" si="37"/>
        <v>10000</v>
      </c>
      <c r="F402" s="5"/>
    </row>
    <row r="403" spans="1:6" ht="14.5" x14ac:dyDescent="0.35">
      <c r="A403" s="39" t="s">
        <v>173</v>
      </c>
      <c r="B403" s="53">
        <v>2</v>
      </c>
      <c r="C403" s="39" t="s">
        <v>174</v>
      </c>
      <c r="D403" s="53">
        <f>35000/3</f>
        <v>11666.666666666666</v>
      </c>
      <c r="E403" s="52">
        <f t="shared" si="37"/>
        <v>23333.333333333332</v>
      </c>
      <c r="F403" s="5"/>
    </row>
    <row r="404" spans="1:6" ht="15.75" customHeight="1" x14ac:dyDescent="0.55000000000000004">
      <c r="A404" s="39" t="s">
        <v>175</v>
      </c>
      <c r="B404" s="53">
        <v>0.3</v>
      </c>
      <c r="C404" s="39" t="s">
        <v>49</v>
      </c>
      <c r="D404" s="54">
        <f>'PH Umum 2024'!F37</f>
        <v>28903.645833333332</v>
      </c>
      <c r="E404" s="52">
        <f t="shared" si="37"/>
        <v>8671.09375</v>
      </c>
      <c r="F404" s="5"/>
    </row>
    <row r="405" spans="1:6" ht="14.5" x14ac:dyDescent="0.35">
      <c r="A405" s="5"/>
      <c r="B405" s="5"/>
      <c r="C405" s="5"/>
      <c r="D405" s="5"/>
      <c r="E405" s="52">
        <f t="shared" si="37"/>
        <v>0</v>
      </c>
      <c r="F405" s="5"/>
    </row>
    <row r="406" spans="1:6" ht="14.5" x14ac:dyDescent="0.35">
      <c r="A406" s="5"/>
      <c r="B406" s="5"/>
      <c r="C406" s="5"/>
      <c r="D406" s="5"/>
      <c r="E406" s="52">
        <f t="shared" si="37"/>
        <v>0</v>
      </c>
      <c r="F406" s="5"/>
    </row>
    <row r="407" spans="1:6" ht="14.5" x14ac:dyDescent="0.35">
      <c r="A407" s="5"/>
      <c r="B407" s="5"/>
      <c r="C407" s="5"/>
      <c r="D407" s="5"/>
      <c r="E407" s="52">
        <f t="shared" si="37"/>
        <v>0</v>
      </c>
      <c r="F407" s="5"/>
    </row>
    <row r="408" spans="1:6" ht="14.5" x14ac:dyDescent="0.35">
      <c r="A408" s="5"/>
      <c r="B408" s="5"/>
      <c r="C408" s="5"/>
      <c r="D408" s="5"/>
      <c r="E408" s="5"/>
      <c r="F408" s="5"/>
    </row>
    <row r="409" spans="1:6" ht="14.5" x14ac:dyDescent="0.35">
      <c r="A409" s="1" t="s">
        <v>212</v>
      </c>
      <c r="B409" s="1"/>
      <c r="C409" s="1"/>
      <c r="D409" s="1"/>
      <c r="E409" s="1"/>
      <c r="F409" s="51">
        <f>SUM(E411:E419)</f>
        <v>77135.546875</v>
      </c>
    </row>
    <row r="410" spans="1:6" ht="14.5" x14ac:dyDescent="0.35">
      <c r="A410" s="5"/>
      <c r="B410" s="5" t="s">
        <v>2</v>
      </c>
      <c r="C410" s="5"/>
      <c r="D410" s="5" t="s">
        <v>3</v>
      </c>
      <c r="E410" s="5" t="s">
        <v>4</v>
      </c>
      <c r="F410" s="5"/>
    </row>
    <row r="411" spans="1:6" ht="14.5" x14ac:dyDescent="0.35">
      <c r="A411" s="39" t="s">
        <v>212</v>
      </c>
      <c r="B411" s="52">
        <v>0.1</v>
      </c>
      <c r="C411" s="5" t="s">
        <v>136</v>
      </c>
      <c r="D411" s="52">
        <v>423000</v>
      </c>
      <c r="E411" s="52">
        <f t="shared" ref="E411:E416" si="38">B411*D411</f>
        <v>42300</v>
      </c>
      <c r="F411" s="5"/>
    </row>
    <row r="412" spans="1:6" ht="14.5" x14ac:dyDescent="0.35">
      <c r="A412" s="5" t="s">
        <v>161</v>
      </c>
      <c r="B412" s="53">
        <v>0</v>
      </c>
      <c r="C412" s="39" t="s">
        <v>168</v>
      </c>
      <c r="D412" s="53">
        <v>0</v>
      </c>
      <c r="E412" s="52">
        <f t="shared" si="38"/>
        <v>0</v>
      </c>
      <c r="F412" s="5"/>
    </row>
    <row r="413" spans="1:6" ht="14.5" x14ac:dyDescent="0.35">
      <c r="A413" s="5" t="s">
        <v>169</v>
      </c>
      <c r="B413" s="52">
        <v>0</v>
      </c>
      <c r="C413" s="5" t="s">
        <v>170</v>
      </c>
      <c r="D413" s="52">
        <v>10000</v>
      </c>
      <c r="E413" s="52">
        <f t="shared" si="38"/>
        <v>0</v>
      </c>
      <c r="F413" s="5"/>
    </row>
    <row r="414" spans="1:6" ht="14.5" x14ac:dyDescent="0.35">
      <c r="A414" s="39" t="s">
        <v>171</v>
      </c>
      <c r="B414" s="53">
        <v>0</v>
      </c>
      <c r="C414" s="39" t="s">
        <v>172</v>
      </c>
      <c r="D414" s="53">
        <v>0</v>
      </c>
      <c r="E414" s="52">
        <f t="shared" si="38"/>
        <v>0</v>
      </c>
      <c r="F414" s="5"/>
    </row>
    <row r="415" spans="1:6" ht="14.5" x14ac:dyDescent="0.35">
      <c r="A415" s="39" t="s">
        <v>173</v>
      </c>
      <c r="B415" s="53">
        <v>1</v>
      </c>
      <c r="C415" s="39" t="s">
        <v>174</v>
      </c>
      <c r="D415" s="53">
        <f>78000/3</f>
        <v>26000</v>
      </c>
      <c r="E415" s="52">
        <f t="shared" si="38"/>
        <v>26000</v>
      </c>
      <c r="F415" s="5"/>
    </row>
    <row r="416" spans="1:6" ht="15.75" customHeight="1" x14ac:dyDescent="0.55000000000000004">
      <c r="A416" s="39" t="s">
        <v>175</v>
      </c>
      <c r="B416" s="53">
        <v>0.3</v>
      </c>
      <c r="C416" s="39" t="s">
        <v>49</v>
      </c>
      <c r="D416" s="54">
        <f>'PH Umum 2024'!F49</f>
        <v>29451.822916666664</v>
      </c>
      <c r="E416" s="52">
        <f t="shared" si="38"/>
        <v>8835.5468749999982</v>
      </c>
      <c r="F416" s="5"/>
    </row>
    <row r="417" spans="1:6" ht="14.5" x14ac:dyDescent="0.35">
      <c r="A417" s="5"/>
      <c r="B417" s="5"/>
      <c r="C417" s="5" t="s">
        <v>90</v>
      </c>
      <c r="D417" s="5"/>
      <c r="E417" s="52">
        <f t="shared" ref="E417:E419" si="39">B417*D417</f>
        <v>0</v>
      </c>
      <c r="F417" s="5"/>
    </row>
    <row r="418" spans="1:6" ht="14.5" x14ac:dyDescent="0.35">
      <c r="A418" s="5"/>
      <c r="B418" s="5"/>
      <c r="C418" s="5" t="s">
        <v>90</v>
      </c>
      <c r="D418" s="5"/>
      <c r="E418" s="52">
        <f t="shared" si="39"/>
        <v>0</v>
      </c>
      <c r="F418" s="5"/>
    </row>
    <row r="419" spans="1:6" ht="14.5" x14ac:dyDescent="0.35">
      <c r="A419" s="5"/>
      <c r="B419" s="5"/>
      <c r="C419" s="5" t="s">
        <v>90</v>
      </c>
      <c r="D419" s="5"/>
      <c r="E419" s="52">
        <f t="shared" si="39"/>
        <v>0</v>
      </c>
      <c r="F419" s="5"/>
    </row>
    <row r="420" spans="1:6" ht="14.5" x14ac:dyDescent="0.35">
      <c r="A420" s="5"/>
      <c r="B420" s="5"/>
      <c r="C420" s="5"/>
      <c r="D420" s="5"/>
      <c r="E420" s="5"/>
      <c r="F420" s="5"/>
    </row>
    <row r="421" spans="1:6" ht="14.5" x14ac:dyDescent="0.35">
      <c r="A421" s="1" t="s">
        <v>122</v>
      </c>
      <c r="B421" s="1"/>
      <c r="C421" s="1"/>
      <c r="D421" s="1"/>
      <c r="E421" s="1"/>
      <c r="F421" s="51">
        <f>SUM(E423:E431)</f>
        <v>0</v>
      </c>
    </row>
    <row r="422" spans="1:6" ht="14.5" x14ac:dyDescent="0.35">
      <c r="A422" s="5"/>
      <c r="B422" s="5" t="s">
        <v>2</v>
      </c>
      <c r="C422" s="5"/>
      <c r="D422" s="5" t="s">
        <v>3</v>
      </c>
      <c r="E422" s="5" t="s">
        <v>4</v>
      </c>
      <c r="F422" s="5"/>
    </row>
    <row r="423" spans="1:6" ht="14.5" x14ac:dyDescent="0.35">
      <c r="A423" s="5"/>
      <c r="B423" s="5"/>
      <c r="C423" s="5" t="s">
        <v>90</v>
      </c>
      <c r="D423" s="5"/>
      <c r="E423" s="52">
        <f t="shared" ref="E423:E431" si="40">B423*D423</f>
        <v>0</v>
      </c>
      <c r="F423" s="5"/>
    </row>
    <row r="424" spans="1:6" ht="14.5" x14ac:dyDescent="0.35">
      <c r="A424" s="5"/>
      <c r="B424" s="5"/>
      <c r="C424" s="5" t="s">
        <v>90</v>
      </c>
      <c r="D424" s="5"/>
      <c r="E424" s="52">
        <f t="shared" si="40"/>
        <v>0</v>
      </c>
      <c r="F424" s="5"/>
    </row>
    <row r="425" spans="1:6" ht="14.5" x14ac:dyDescent="0.35">
      <c r="A425" s="5"/>
      <c r="B425" s="5"/>
      <c r="C425" s="5" t="s">
        <v>90</v>
      </c>
      <c r="D425" s="5"/>
      <c r="E425" s="52">
        <f t="shared" si="40"/>
        <v>0</v>
      </c>
      <c r="F425" s="5"/>
    </row>
    <row r="426" spans="1:6" ht="14.5" x14ac:dyDescent="0.35">
      <c r="A426" s="5"/>
      <c r="B426" s="5"/>
      <c r="C426" s="5" t="s">
        <v>90</v>
      </c>
      <c r="D426" s="5"/>
      <c r="E426" s="52">
        <f t="shared" si="40"/>
        <v>0</v>
      </c>
      <c r="F426" s="5"/>
    </row>
    <row r="427" spans="1:6" ht="14.5" x14ac:dyDescent="0.35">
      <c r="A427" s="5"/>
      <c r="B427" s="5"/>
      <c r="C427" s="5" t="s">
        <v>90</v>
      </c>
      <c r="D427" s="5"/>
      <c r="E427" s="52">
        <f t="shared" si="40"/>
        <v>0</v>
      </c>
      <c r="F427" s="5"/>
    </row>
    <row r="428" spans="1:6" ht="14.5" x14ac:dyDescent="0.35">
      <c r="A428" s="5"/>
      <c r="B428" s="5"/>
      <c r="C428" s="5" t="s">
        <v>90</v>
      </c>
      <c r="D428" s="5"/>
      <c r="E428" s="52">
        <f t="shared" si="40"/>
        <v>0</v>
      </c>
      <c r="F428" s="5"/>
    </row>
    <row r="429" spans="1:6" ht="14.5" x14ac:dyDescent="0.35">
      <c r="A429" s="5"/>
      <c r="B429" s="5"/>
      <c r="C429" s="5" t="s">
        <v>90</v>
      </c>
      <c r="D429" s="5"/>
      <c r="E429" s="52">
        <f t="shared" si="40"/>
        <v>0</v>
      </c>
      <c r="F429" s="5"/>
    </row>
    <row r="430" spans="1:6" ht="14.5" x14ac:dyDescent="0.35">
      <c r="A430" s="5"/>
      <c r="B430" s="5"/>
      <c r="C430" s="5" t="s">
        <v>90</v>
      </c>
      <c r="D430" s="5"/>
      <c r="E430" s="52">
        <f t="shared" si="40"/>
        <v>0</v>
      </c>
      <c r="F430" s="5"/>
    </row>
    <row r="431" spans="1:6" ht="14.5" x14ac:dyDescent="0.35">
      <c r="A431" s="5"/>
      <c r="B431" s="5"/>
      <c r="C431" s="5" t="s">
        <v>90</v>
      </c>
      <c r="D431" s="5"/>
      <c r="E431" s="52">
        <f t="shared" si="40"/>
        <v>0</v>
      </c>
      <c r="F431" s="5"/>
    </row>
    <row r="432" spans="1:6" ht="14.5" x14ac:dyDescent="0.35">
      <c r="A432" s="5"/>
      <c r="B432" s="5"/>
      <c r="C432" s="5"/>
      <c r="D432" s="5"/>
      <c r="E432" s="5"/>
      <c r="F432" s="5"/>
    </row>
    <row r="433" spans="1:6" ht="14.5" x14ac:dyDescent="0.35">
      <c r="A433" s="1" t="s">
        <v>122</v>
      </c>
      <c r="B433" s="1"/>
      <c r="C433" s="1"/>
      <c r="D433" s="1"/>
      <c r="E433" s="1"/>
      <c r="F433" s="51">
        <f>SUM(E435:E443)</f>
        <v>0</v>
      </c>
    </row>
    <row r="434" spans="1:6" ht="14.5" x14ac:dyDescent="0.35">
      <c r="A434" s="5"/>
      <c r="B434" s="5" t="s">
        <v>2</v>
      </c>
      <c r="C434" s="5"/>
      <c r="D434" s="5" t="s">
        <v>3</v>
      </c>
      <c r="E434" s="5" t="s">
        <v>4</v>
      </c>
      <c r="F434" s="5"/>
    </row>
    <row r="435" spans="1:6" ht="14.5" x14ac:dyDescent="0.35">
      <c r="A435" s="5"/>
      <c r="B435" s="5"/>
      <c r="C435" s="5" t="s">
        <v>90</v>
      </c>
      <c r="D435" s="5"/>
      <c r="E435" s="52">
        <f t="shared" ref="E435:E443" si="41">B435*D435</f>
        <v>0</v>
      </c>
      <c r="F435" s="5"/>
    </row>
    <row r="436" spans="1:6" ht="14.5" x14ac:dyDescent="0.35">
      <c r="A436" s="5"/>
      <c r="B436" s="5"/>
      <c r="C436" s="5" t="s">
        <v>90</v>
      </c>
      <c r="D436" s="5"/>
      <c r="E436" s="52">
        <f t="shared" si="41"/>
        <v>0</v>
      </c>
      <c r="F436" s="5"/>
    </row>
    <row r="437" spans="1:6" ht="14.5" x14ac:dyDescent="0.35">
      <c r="A437" s="5"/>
      <c r="B437" s="5"/>
      <c r="C437" s="5" t="s">
        <v>90</v>
      </c>
      <c r="D437" s="5"/>
      <c r="E437" s="52">
        <f t="shared" si="41"/>
        <v>0</v>
      </c>
      <c r="F437" s="5"/>
    </row>
    <row r="438" spans="1:6" ht="14.5" x14ac:dyDescent="0.35">
      <c r="A438" s="5"/>
      <c r="B438" s="5"/>
      <c r="C438" s="5" t="s">
        <v>90</v>
      </c>
      <c r="D438" s="5"/>
      <c r="E438" s="52">
        <f t="shared" si="41"/>
        <v>0</v>
      </c>
      <c r="F438" s="5"/>
    </row>
    <row r="439" spans="1:6" ht="14.5" x14ac:dyDescent="0.35">
      <c r="A439" s="5"/>
      <c r="B439" s="5"/>
      <c r="C439" s="5" t="s">
        <v>90</v>
      </c>
      <c r="D439" s="5"/>
      <c r="E439" s="52">
        <f t="shared" si="41"/>
        <v>0</v>
      </c>
      <c r="F439" s="5"/>
    </row>
    <row r="440" spans="1:6" ht="14.5" x14ac:dyDescent="0.35">
      <c r="A440" s="5"/>
      <c r="B440" s="5"/>
      <c r="C440" s="5" t="s">
        <v>90</v>
      </c>
      <c r="D440" s="5"/>
      <c r="E440" s="52">
        <f t="shared" si="41"/>
        <v>0</v>
      </c>
      <c r="F440" s="5"/>
    </row>
    <row r="441" spans="1:6" ht="14.5" x14ac:dyDescent="0.35">
      <c r="A441" s="5"/>
      <c r="B441" s="5"/>
      <c r="C441" s="5" t="s">
        <v>90</v>
      </c>
      <c r="D441" s="5"/>
      <c r="E441" s="52">
        <f t="shared" si="41"/>
        <v>0</v>
      </c>
      <c r="F441" s="5"/>
    </row>
    <row r="442" spans="1:6" ht="14.5" x14ac:dyDescent="0.35">
      <c r="A442" s="5"/>
      <c r="B442" s="5"/>
      <c r="C442" s="5" t="s">
        <v>90</v>
      </c>
      <c r="D442" s="5"/>
      <c r="E442" s="52">
        <f t="shared" si="41"/>
        <v>0</v>
      </c>
      <c r="F442" s="5"/>
    </row>
    <row r="443" spans="1:6" ht="14.5" x14ac:dyDescent="0.35">
      <c r="A443" s="5"/>
      <c r="B443" s="5"/>
      <c r="C443" s="5" t="s">
        <v>90</v>
      </c>
      <c r="D443" s="5"/>
      <c r="E443" s="52">
        <f t="shared" si="41"/>
        <v>0</v>
      </c>
      <c r="F443" s="5"/>
    </row>
    <row r="444" spans="1:6" ht="14.5" x14ac:dyDescent="0.35">
      <c r="A444" s="5"/>
      <c r="B444" s="5"/>
      <c r="C444" s="5"/>
      <c r="D444" s="5"/>
      <c r="E444" s="5"/>
      <c r="F444" s="5"/>
    </row>
    <row r="445" spans="1:6" ht="14.5" x14ac:dyDescent="0.35">
      <c r="A445" s="39" t="s">
        <v>308</v>
      </c>
      <c r="B445" s="1"/>
      <c r="C445" s="1"/>
      <c r="D445" s="1"/>
      <c r="E445" s="1"/>
      <c r="F445" s="51">
        <f>SUM(E447:E452)</f>
        <v>200</v>
      </c>
    </row>
    <row r="446" spans="1:6" ht="14.5" x14ac:dyDescent="0.35">
      <c r="A446" s="5"/>
      <c r="B446" s="5" t="s">
        <v>2</v>
      </c>
      <c r="C446" s="5"/>
      <c r="D446" s="5" t="s">
        <v>3</v>
      </c>
      <c r="E446" s="5" t="s">
        <v>4</v>
      </c>
      <c r="F446" s="5"/>
    </row>
    <row r="447" spans="1:6" ht="14.5" x14ac:dyDescent="0.35">
      <c r="A447" s="5" t="s">
        <v>177</v>
      </c>
      <c r="B447" s="52">
        <v>1</v>
      </c>
      <c r="C447" s="5" t="s">
        <v>62</v>
      </c>
      <c r="D447" s="53">
        <v>200</v>
      </c>
      <c r="E447" s="52">
        <f t="shared" ref="E447" si="42">B447*D447</f>
        <v>200</v>
      </c>
      <c r="F447" s="5"/>
    </row>
    <row r="448" spans="1:6" ht="14.5" x14ac:dyDescent="0.35">
      <c r="A448" s="5"/>
      <c r="B448" s="5"/>
      <c r="C448" s="5"/>
      <c r="D448" s="5"/>
      <c r="E448" s="52">
        <f t="shared" ref="E448:E452" si="43">B448*D448</f>
        <v>0</v>
      </c>
      <c r="F448" s="5"/>
    </row>
    <row r="449" spans="1:6" ht="14.5" x14ac:dyDescent="0.35">
      <c r="A449" s="5"/>
      <c r="B449" s="5"/>
      <c r="C449" s="5"/>
      <c r="D449" s="5"/>
      <c r="E449" s="52">
        <f t="shared" si="43"/>
        <v>0</v>
      </c>
      <c r="F449" s="5"/>
    </row>
    <row r="450" spans="1:6" ht="14.5" x14ac:dyDescent="0.35">
      <c r="A450" s="5"/>
      <c r="B450" s="5"/>
      <c r="C450" s="5"/>
      <c r="D450" s="5"/>
      <c r="E450" s="52">
        <f t="shared" si="43"/>
        <v>0</v>
      </c>
      <c r="F450" s="5"/>
    </row>
    <row r="451" spans="1:6" ht="14.5" x14ac:dyDescent="0.35">
      <c r="A451" s="5"/>
      <c r="B451" s="5"/>
      <c r="C451" s="5"/>
      <c r="D451" s="5"/>
      <c r="E451" s="52">
        <f t="shared" si="43"/>
        <v>0</v>
      </c>
      <c r="F451" s="5"/>
    </row>
    <row r="452" spans="1:6" ht="14.5" x14ac:dyDescent="0.35">
      <c r="A452" s="5"/>
      <c r="B452" s="5"/>
      <c r="C452" s="5"/>
      <c r="D452" s="5"/>
      <c r="E452" s="52">
        <f t="shared" si="43"/>
        <v>0</v>
      </c>
      <c r="F452" s="5"/>
    </row>
    <row r="453" spans="1:6" ht="14.5" x14ac:dyDescent="0.35">
      <c r="A453" s="5"/>
      <c r="B453" s="5"/>
      <c r="C453" s="5"/>
      <c r="D453" s="5"/>
      <c r="E453" s="5"/>
      <c r="F453" s="5"/>
    </row>
    <row r="454" spans="1:6" ht="14.5" x14ac:dyDescent="0.35">
      <c r="A454" s="1" t="s">
        <v>313</v>
      </c>
      <c r="B454" s="1"/>
      <c r="C454" s="1"/>
      <c r="D454" s="1"/>
      <c r="E454" s="1"/>
      <c r="F454" s="51">
        <f>SUM(E456:E459)</f>
        <v>1963.0729166666665</v>
      </c>
    </row>
    <row r="455" spans="1:6" ht="14.5" x14ac:dyDescent="0.35">
      <c r="A455" s="5"/>
      <c r="B455" s="5" t="s">
        <v>2</v>
      </c>
      <c r="C455" s="5"/>
      <c r="D455" s="5" t="s">
        <v>3</v>
      </c>
      <c r="E455" s="5" t="s">
        <v>4</v>
      </c>
      <c r="F455" s="5"/>
    </row>
    <row r="456" spans="1:6" ht="14.5" x14ac:dyDescent="0.35">
      <c r="A456" s="39" t="s">
        <v>176</v>
      </c>
      <c r="B456" s="52">
        <v>0.01</v>
      </c>
      <c r="C456" s="5" t="s">
        <v>130</v>
      </c>
      <c r="D456" s="53">
        <v>95000</v>
      </c>
      <c r="E456" s="52">
        <f t="shared" ref="E456:E459" si="44">B456*D456</f>
        <v>950</v>
      </c>
      <c r="F456" s="5"/>
    </row>
    <row r="457" spans="1:6" ht="14.5" x14ac:dyDescent="0.35">
      <c r="A457" s="5" t="s">
        <v>153</v>
      </c>
      <c r="B457" s="52">
        <v>1</v>
      </c>
      <c r="C457" s="5" t="s">
        <v>62</v>
      </c>
      <c r="D457" s="52">
        <v>35</v>
      </c>
      <c r="E457" s="52">
        <f t="shared" si="44"/>
        <v>35</v>
      </c>
      <c r="F457" s="5"/>
    </row>
    <row r="458" spans="1:6" ht="16.5" x14ac:dyDescent="0.55000000000000004">
      <c r="A458" s="5" t="s">
        <v>89</v>
      </c>
      <c r="B458" s="52">
        <v>0.02</v>
      </c>
      <c r="C458" s="5" t="s">
        <v>119</v>
      </c>
      <c r="D458" s="54">
        <f>'PH Umum 2024'!F37</f>
        <v>28903.645833333332</v>
      </c>
      <c r="E458" s="52">
        <f t="shared" si="44"/>
        <v>578.07291666666663</v>
      </c>
      <c r="F458" s="5"/>
    </row>
    <row r="459" spans="1:6" ht="14.5" x14ac:dyDescent="0.35">
      <c r="A459" s="5" t="s">
        <v>179</v>
      </c>
      <c r="B459" s="52">
        <v>0.04</v>
      </c>
      <c r="C459" s="5" t="s">
        <v>130</v>
      </c>
      <c r="D459" s="52">
        <v>10000</v>
      </c>
      <c r="E459" s="52">
        <f t="shared" si="44"/>
        <v>400</v>
      </c>
      <c r="F459" s="5"/>
    </row>
    <row r="460" spans="1:6" ht="14.5" x14ac:dyDescent="0.35">
      <c r="A460" s="5"/>
      <c r="B460" s="5"/>
      <c r="C460" s="5"/>
      <c r="D460" s="5"/>
      <c r="E460" s="5"/>
      <c r="F460" s="5"/>
    </row>
    <row r="461" spans="1:6" ht="14.5" x14ac:dyDescent="0.35">
      <c r="A461" s="1" t="s">
        <v>122</v>
      </c>
      <c r="B461" s="1"/>
      <c r="C461" s="1"/>
      <c r="D461" s="1"/>
      <c r="E461" s="1"/>
      <c r="F461" s="51">
        <f>SUM(E463:E471)</f>
        <v>0</v>
      </c>
    </row>
    <row r="462" spans="1:6" ht="14.5" x14ac:dyDescent="0.35">
      <c r="A462" s="5"/>
      <c r="B462" s="5" t="s">
        <v>2</v>
      </c>
      <c r="C462" s="5"/>
      <c r="D462" s="5" t="s">
        <v>3</v>
      </c>
      <c r="E462" s="5" t="s">
        <v>4</v>
      </c>
      <c r="F462" s="5"/>
    </row>
    <row r="463" spans="1:6" ht="14.5" x14ac:dyDescent="0.35">
      <c r="A463" s="5"/>
      <c r="B463" s="52"/>
      <c r="C463" s="5"/>
      <c r="D463" s="5"/>
      <c r="E463" s="52"/>
      <c r="F463" s="5"/>
    </row>
    <row r="464" spans="1:6" ht="14.5" x14ac:dyDescent="0.35">
      <c r="A464" s="5"/>
      <c r="B464" s="52"/>
      <c r="C464" s="5"/>
      <c r="D464" s="5"/>
      <c r="E464" s="52"/>
      <c r="F464" s="5"/>
    </row>
    <row r="465" spans="1:6" ht="14.5" x14ac:dyDescent="0.35">
      <c r="A465" s="5"/>
      <c r="B465" s="52"/>
      <c r="C465" s="5"/>
      <c r="D465" s="5"/>
      <c r="E465" s="52"/>
      <c r="F465" s="5"/>
    </row>
    <row r="466" spans="1:6" ht="15.75" customHeight="1" x14ac:dyDescent="0.35">
      <c r="A466" s="5"/>
      <c r="B466" s="52"/>
      <c r="C466" s="5"/>
      <c r="D466" s="5"/>
      <c r="E466" s="52"/>
      <c r="F466" s="5"/>
    </row>
    <row r="467" spans="1:6" ht="14.5" x14ac:dyDescent="0.35">
      <c r="A467" s="5"/>
      <c r="B467" s="5"/>
      <c r="C467" s="5"/>
      <c r="D467" s="5"/>
      <c r="E467" s="52">
        <f t="shared" ref="E467:E471" si="45">B467*D467</f>
        <v>0</v>
      </c>
      <c r="F467" s="5"/>
    </row>
    <row r="468" spans="1:6" ht="14.5" x14ac:dyDescent="0.35">
      <c r="A468" s="5"/>
      <c r="B468" s="5"/>
      <c r="C468" s="5"/>
      <c r="D468" s="5"/>
      <c r="E468" s="52">
        <f t="shared" si="45"/>
        <v>0</v>
      </c>
      <c r="F468" s="5"/>
    </row>
    <row r="469" spans="1:6" ht="14.5" x14ac:dyDescent="0.35">
      <c r="A469" s="5"/>
      <c r="B469" s="5"/>
      <c r="C469" s="5"/>
      <c r="D469" s="5"/>
      <c r="E469" s="52">
        <f t="shared" si="45"/>
        <v>0</v>
      </c>
      <c r="F469" s="5"/>
    </row>
    <row r="470" spans="1:6" ht="14.5" x14ac:dyDescent="0.35">
      <c r="A470" s="5"/>
      <c r="B470" s="5"/>
      <c r="C470" s="5"/>
      <c r="D470" s="5"/>
      <c r="E470" s="52">
        <f t="shared" si="45"/>
        <v>0</v>
      </c>
      <c r="F470" s="5"/>
    </row>
    <row r="471" spans="1:6" ht="14.5" x14ac:dyDescent="0.35">
      <c r="A471" s="5"/>
      <c r="B471" s="5"/>
      <c r="C471" s="5"/>
      <c r="D471" s="5"/>
      <c r="E471" s="52">
        <f t="shared" si="45"/>
        <v>0</v>
      </c>
      <c r="F471" s="5"/>
    </row>
    <row r="472" spans="1:6" ht="14.5" x14ac:dyDescent="0.35">
      <c r="A472" s="5"/>
      <c r="B472" s="5"/>
      <c r="C472" s="5"/>
      <c r="D472" s="5"/>
      <c r="E472" s="5"/>
      <c r="F472" s="5"/>
    </row>
    <row r="473" spans="1:6" ht="14.5" x14ac:dyDescent="0.35">
      <c r="A473" s="1" t="s">
        <v>181</v>
      </c>
      <c r="B473" s="1"/>
      <c r="C473" s="1"/>
      <c r="D473" s="1"/>
      <c r="E473" s="1"/>
      <c r="F473" s="51">
        <v>4358.0574649999999</v>
      </c>
    </row>
    <row r="474" spans="1:6" ht="14.5" x14ac:dyDescent="0.35">
      <c r="A474" s="5"/>
      <c r="B474" s="5" t="s">
        <v>2</v>
      </c>
      <c r="C474" s="5"/>
      <c r="D474" s="5" t="s">
        <v>3</v>
      </c>
      <c r="E474" s="5" t="s">
        <v>4</v>
      </c>
      <c r="F474" s="5"/>
    </row>
    <row r="475" spans="1:6" ht="14.5" x14ac:dyDescent="0.35">
      <c r="A475" s="5" t="s">
        <v>182</v>
      </c>
      <c r="B475" s="52">
        <v>0.1</v>
      </c>
      <c r="C475" s="5" t="s">
        <v>183</v>
      </c>
      <c r="D475" s="52">
        <v>15000</v>
      </c>
      <c r="E475" s="52">
        <f t="shared" ref="E475:E478" si="46">B475*D475</f>
        <v>1500</v>
      </c>
      <c r="F475" s="5"/>
    </row>
    <row r="476" spans="1:6" ht="14.5" x14ac:dyDescent="0.35">
      <c r="A476" s="5" t="s">
        <v>176</v>
      </c>
      <c r="B476" s="52">
        <v>3.4000000000000002E-2</v>
      </c>
      <c r="C476" s="5" t="s">
        <v>130</v>
      </c>
      <c r="D476" s="52">
        <v>81000</v>
      </c>
      <c r="E476" s="52">
        <f t="shared" si="46"/>
        <v>2754</v>
      </c>
      <c r="F476" s="5"/>
    </row>
    <row r="477" spans="1:6" ht="14.5" x14ac:dyDescent="0.35">
      <c r="A477" s="5" t="s">
        <v>153</v>
      </c>
      <c r="B477" s="52">
        <v>2</v>
      </c>
      <c r="C477" s="5" t="s">
        <v>62</v>
      </c>
      <c r="D477" s="52">
        <v>35</v>
      </c>
      <c r="E477" s="52">
        <f t="shared" si="46"/>
        <v>70</v>
      </c>
      <c r="F477" s="5"/>
    </row>
    <row r="478" spans="1:6" ht="15.75" customHeight="1" x14ac:dyDescent="0.55000000000000004">
      <c r="A478" s="5" t="s">
        <v>89</v>
      </c>
      <c r="B478" s="52">
        <v>0.02</v>
      </c>
      <c r="C478" s="5" t="s">
        <v>119</v>
      </c>
      <c r="D478" s="54">
        <f>'PH Umum 2024'!F37</f>
        <v>28903.645833333332</v>
      </c>
      <c r="E478" s="52">
        <f t="shared" si="46"/>
        <v>578.07291666666663</v>
      </c>
      <c r="F478" s="5"/>
    </row>
    <row r="479" spans="1:6" ht="14.5" x14ac:dyDescent="0.35">
      <c r="A479" s="5"/>
      <c r="B479" s="5"/>
      <c r="C479" s="5"/>
      <c r="D479" s="5"/>
      <c r="E479" s="52">
        <v>0</v>
      </c>
      <c r="F479" s="5"/>
    </row>
    <row r="480" spans="1:6" ht="14.5" x14ac:dyDescent="0.35">
      <c r="A480" s="5"/>
      <c r="B480" s="5"/>
      <c r="C480" s="5"/>
      <c r="D480" s="5"/>
      <c r="E480" s="52">
        <v>0</v>
      </c>
      <c r="F480" s="5"/>
    </row>
    <row r="481" spans="1:6" ht="14.5" x14ac:dyDescent="0.35">
      <c r="A481" s="5"/>
      <c r="B481" s="5"/>
      <c r="C481" s="5"/>
      <c r="D481" s="5"/>
      <c r="E481" s="52">
        <v>0</v>
      </c>
      <c r="F481" s="5"/>
    </row>
    <row r="482" spans="1:6" ht="14.5" x14ac:dyDescent="0.35">
      <c r="A482" s="5"/>
      <c r="B482" s="5"/>
      <c r="C482" s="5"/>
      <c r="D482" s="5"/>
      <c r="E482" s="52">
        <v>0</v>
      </c>
      <c r="F482" s="5"/>
    </row>
    <row r="483" spans="1:6" ht="14.5" x14ac:dyDescent="0.35">
      <c r="A483" s="5"/>
      <c r="B483" s="5"/>
      <c r="C483" s="5"/>
      <c r="D483" s="5"/>
      <c r="E483" s="52">
        <v>0</v>
      </c>
      <c r="F483" s="5"/>
    </row>
    <row r="484" spans="1:6" ht="14.5" x14ac:dyDescent="0.35">
      <c r="A484" s="5"/>
      <c r="B484" s="5"/>
      <c r="C484" s="5"/>
      <c r="D484" s="5"/>
      <c r="E484" s="5"/>
      <c r="F484" s="5"/>
    </row>
    <row r="485" spans="1:6" ht="14.5" x14ac:dyDescent="0.35">
      <c r="A485" s="1" t="s">
        <v>184</v>
      </c>
      <c r="B485" s="1"/>
      <c r="C485" s="1"/>
      <c r="D485" s="1"/>
      <c r="E485" s="1"/>
      <c r="F485" s="51">
        <f>SUM(E487:E495)</f>
        <v>3008.0729166666665</v>
      </c>
    </row>
    <row r="486" spans="1:6" ht="14.5" x14ac:dyDescent="0.35">
      <c r="A486" s="5"/>
      <c r="B486" s="5" t="s">
        <v>2</v>
      </c>
      <c r="C486" s="5"/>
      <c r="D486" s="5" t="s">
        <v>3</v>
      </c>
      <c r="E486" s="5" t="s">
        <v>4</v>
      </c>
      <c r="F486" s="5"/>
    </row>
    <row r="487" spans="1:6" ht="14.5" x14ac:dyDescent="0.35">
      <c r="A487" s="5" t="s">
        <v>182</v>
      </c>
      <c r="B487" s="52">
        <v>0.1</v>
      </c>
      <c r="C487" s="5" t="s">
        <v>183</v>
      </c>
      <c r="D487" s="52">
        <v>14000</v>
      </c>
      <c r="E487" s="52">
        <f t="shared" ref="E487:E495" si="47">B487*D487</f>
        <v>1400</v>
      </c>
      <c r="F487" s="5"/>
    </row>
    <row r="488" spans="1:6" ht="14.5" x14ac:dyDescent="0.35">
      <c r="A488" s="5" t="s">
        <v>178</v>
      </c>
      <c r="B488" s="52">
        <v>2E-3</v>
      </c>
      <c r="C488" s="5" t="s">
        <v>130</v>
      </c>
      <c r="D488" s="53">
        <v>280000</v>
      </c>
      <c r="E488" s="52">
        <f t="shared" si="47"/>
        <v>560</v>
      </c>
      <c r="F488" s="5"/>
    </row>
    <row r="489" spans="1:6" ht="14.5" x14ac:dyDescent="0.35">
      <c r="A489" s="5" t="s">
        <v>153</v>
      </c>
      <c r="B489" s="52">
        <v>2</v>
      </c>
      <c r="C489" s="5" t="s">
        <v>62</v>
      </c>
      <c r="D489" s="52">
        <v>35</v>
      </c>
      <c r="E489" s="52">
        <f t="shared" si="47"/>
        <v>70</v>
      </c>
      <c r="F489" s="5"/>
    </row>
    <row r="490" spans="1:6" ht="15.75" customHeight="1" x14ac:dyDescent="0.55000000000000004">
      <c r="A490" s="5" t="s">
        <v>89</v>
      </c>
      <c r="B490" s="52">
        <v>0.02</v>
      </c>
      <c r="C490" s="5" t="s">
        <v>119</v>
      </c>
      <c r="D490" s="54">
        <f>'PH Umum 2024'!F37</f>
        <v>28903.645833333332</v>
      </c>
      <c r="E490" s="52">
        <f t="shared" si="47"/>
        <v>578.07291666666663</v>
      </c>
      <c r="F490" s="5"/>
    </row>
    <row r="491" spans="1:6" ht="14.5" x14ac:dyDescent="0.35">
      <c r="A491" s="5" t="s">
        <v>179</v>
      </c>
      <c r="B491" s="52">
        <v>0.04</v>
      </c>
      <c r="C491" s="5" t="s">
        <v>130</v>
      </c>
      <c r="D491" s="52">
        <v>10000</v>
      </c>
      <c r="E491" s="52">
        <f t="shared" si="47"/>
        <v>400</v>
      </c>
      <c r="F491" s="5"/>
    </row>
    <row r="492" spans="1:6" ht="14.5" x14ac:dyDescent="0.35">
      <c r="A492" s="5"/>
      <c r="B492" s="5"/>
      <c r="C492" s="5"/>
      <c r="D492" s="5"/>
      <c r="E492" s="52">
        <f t="shared" si="47"/>
        <v>0</v>
      </c>
      <c r="F492" s="5"/>
    </row>
    <row r="493" spans="1:6" ht="14.5" x14ac:dyDescent="0.35">
      <c r="A493" s="5"/>
      <c r="B493" s="5"/>
      <c r="C493" s="5"/>
      <c r="D493" s="5"/>
      <c r="E493" s="52">
        <f t="shared" si="47"/>
        <v>0</v>
      </c>
      <c r="F493" s="5"/>
    </row>
    <row r="494" spans="1:6" ht="14.5" x14ac:dyDescent="0.35">
      <c r="A494" s="5"/>
      <c r="B494" s="5"/>
      <c r="C494" s="5"/>
      <c r="D494" s="5"/>
      <c r="E494" s="52">
        <f t="shared" si="47"/>
        <v>0</v>
      </c>
      <c r="F494" s="5"/>
    </row>
    <row r="495" spans="1:6" ht="14.5" x14ac:dyDescent="0.35">
      <c r="A495" s="5"/>
      <c r="B495" s="5"/>
      <c r="C495" s="5"/>
      <c r="D495" s="5"/>
      <c r="E495" s="52">
        <f t="shared" si="47"/>
        <v>0</v>
      </c>
      <c r="F495" s="5"/>
    </row>
    <row r="496" spans="1:6" ht="14.5" x14ac:dyDescent="0.35">
      <c r="A496" s="5"/>
      <c r="B496" s="5"/>
      <c r="C496" s="5"/>
      <c r="D496" s="5"/>
      <c r="E496" s="5"/>
      <c r="F496" s="5"/>
    </row>
    <row r="497" spans="1:6" ht="14.5" x14ac:dyDescent="0.35">
      <c r="A497" s="1" t="s">
        <v>185</v>
      </c>
      <c r="B497" s="1"/>
      <c r="C497" s="1"/>
      <c r="D497" s="1"/>
      <c r="E497" s="1"/>
      <c r="F497" s="51">
        <f>SUM(E499:E507)</f>
        <v>3028.0729166666665</v>
      </c>
    </row>
    <row r="498" spans="1:6" ht="14.5" x14ac:dyDescent="0.35">
      <c r="A498" s="5"/>
      <c r="B498" s="5" t="s">
        <v>2</v>
      </c>
      <c r="C498" s="5"/>
      <c r="D498" s="5" t="s">
        <v>3</v>
      </c>
      <c r="E498" s="5" t="s">
        <v>4</v>
      </c>
      <c r="F498" s="5"/>
    </row>
    <row r="499" spans="1:6" ht="14.5" x14ac:dyDescent="0.35">
      <c r="A499" s="5" t="s">
        <v>182</v>
      </c>
      <c r="B499" s="52">
        <v>0.1</v>
      </c>
      <c r="C499" s="5" t="s">
        <v>183</v>
      </c>
      <c r="D499" s="52">
        <v>15000</v>
      </c>
      <c r="E499" s="52">
        <f t="shared" ref="E499:E507" si="48">B499*D499</f>
        <v>1500</v>
      </c>
      <c r="F499" s="5"/>
    </row>
    <row r="500" spans="1:6" ht="14.5" x14ac:dyDescent="0.35">
      <c r="A500" s="5" t="s">
        <v>180</v>
      </c>
      <c r="B500" s="52">
        <v>0.01</v>
      </c>
      <c r="C500" s="5" t="s">
        <v>130</v>
      </c>
      <c r="D500" s="53">
        <v>88000</v>
      </c>
      <c r="E500" s="52">
        <f t="shared" si="48"/>
        <v>880</v>
      </c>
      <c r="F500" s="5"/>
    </row>
    <row r="501" spans="1:6" ht="14.5" x14ac:dyDescent="0.35">
      <c r="A501" s="5" t="s">
        <v>153</v>
      </c>
      <c r="B501" s="52">
        <v>2</v>
      </c>
      <c r="C501" s="5" t="s">
        <v>62</v>
      </c>
      <c r="D501" s="52">
        <v>35</v>
      </c>
      <c r="E501" s="52">
        <f t="shared" si="48"/>
        <v>70</v>
      </c>
      <c r="F501" s="5"/>
    </row>
    <row r="502" spans="1:6" ht="15.75" customHeight="1" x14ac:dyDescent="0.55000000000000004">
      <c r="A502" s="5" t="s">
        <v>89</v>
      </c>
      <c r="B502" s="52">
        <v>0.02</v>
      </c>
      <c r="C502" s="5" t="s">
        <v>119</v>
      </c>
      <c r="D502" s="54">
        <f>'PH Umum 2024'!F37</f>
        <v>28903.645833333332</v>
      </c>
      <c r="E502" s="52">
        <f t="shared" si="48"/>
        <v>578.07291666666663</v>
      </c>
      <c r="F502" s="5"/>
    </row>
    <row r="503" spans="1:6" ht="14.5" x14ac:dyDescent="0.35">
      <c r="A503" s="5"/>
      <c r="B503" s="5"/>
      <c r="C503" s="5"/>
      <c r="D503" s="5"/>
      <c r="E503" s="52">
        <f t="shared" si="48"/>
        <v>0</v>
      </c>
      <c r="F503" s="5"/>
    </row>
    <row r="504" spans="1:6" ht="14.5" x14ac:dyDescent="0.35">
      <c r="A504" s="5"/>
      <c r="B504" s="5"/>
      <c r="C504" s="5"/>
      <c r="D504" s="5"/>
      <c r="E504" s="52">
        <f t="shared" si="48"/>
        <v>0</v>
      </c>
      <c r="F504" s="5"/>
    </row>
    <row r="505" spans="1:6" ht="14.5" x14ac:dyDescent="0.35">
      <c r="A505" s="5"/>
      <c r="B505" s="5"/>
      <c r="C505" s="5"/>
      <c r="D505" s="5"/>
      <c r="E505" s="52">
        <f t="shared" si="48"/>
        <v>0</v>
      </c>
      <c r="F505" s="5"/>
    </row>
    <row r="506" spans="1:6" ht="14.5" x14ac:dyDescent="0.35">
      <c r="A506" s="5"/>
      <c r="B506" s="5"/>
      <c r="C506" s="5"/>
      <c r="D506" s="5"/>
      <c r="E506" s="52">
        <f t="shared" si="48"/>
        <v>0</v>
      </c>
      <c r="F506" s="5"/>
    </row>
    <row r="507" spans="1:6" ht="14.5" x14ac:dyDescent="0.35">
      <c r="A507" s="5"/>
      <c r="B507" s="5"/>
      <c r="C507" s="5"/>
      <c r="D507" s="5"/>
      <c r="E507" s="52">
        <f t="shared" si="48"/>
        <v>0</v>
      </c>
      <c r="F507" s="5"/>
    </row>
    <row r="508" spans="1:6" ht="14.5" x14ac:dyDescent="0.35">
      <c r="A508" s="5"/>
      <c r="B508" s="5"/>
      <c r="C508" s="5"/>
      <c r="D508" s="5"/>
      <c r="E508" s="5"/>
      <c r="F508" s="5"/>
    </row>
    <row r="509" spans="1:6" ht="14.5" x14ac:dyDescent="0.35">
      <c r="A509" s="39" t="s">
        <v>314</v>
      </c>
      <c r="B509" s="1"/>
      <c r="C509" s="1"/>
      <c r="D509" s="1"/>
      <c r="E509" s="1"/>
      <c r="F509" s="51">
        <f>SUM(E511:E518)</f>
        <v>10500</v>
      </c>
    </row>
    <row r="510" spans="1:6" ht="14.5" x14ac:dyDescent="0.35">
      <c r="A510" s="5"/>
      <c r="B510" s="5" t="s">
        <v>2</v>
      </c>
      <c r="C510" s="5"/>
      <c r="D510" s="5" t="s">
        <v>3</v>
      </c>
      <c r="E510" s="5" t="s">
        <v>4</v>
      </c>
      <c r="F510" s="5"/>
    </row>
    <row r="511" spans="1:6" ht="14.5" x14ac:dyDescent="0.35">
      <c r="A511" s="5" t="s">
        <v>186</v>
      </c>
      <c r="B511" s="52">
        <v>0.3</v>
      </c>
      <c r="C511" s="5" t="s">
        <v>187</v>
      </c>
      <c r="D511" s="52">
        <v>35000</v>
      </c>
      <c r="E511" s="52">
        <f t="shared" ref="E511:E515" si="49">B511*D511</f>
        <v>10500</v>
      </c>
      <c r="F511" s="5"/>
    </row>
    <row r="512" spans="1:6" ht="14.5" x14ac:dyDescent="0.35">
      <c r="A512" s="5" t="s">
        <v>178</v>
      </c>
      <c r="B512" s="52"/>
      <c r="C512" s="5" t="s">
        <v>130</v>
      </c>
      <c r="D512" s="53">
        <v>300000</v>
      </c>
      <c r="E512" s="52">
        <f t="shared" si="49"/>
        <v>0</v>
      </c>
      <c r="F512" s="5"/>
    </row>
    <row r="513" spans="1:6" ht="15.75" customHeight="1" x14ac:dyDescent="0.35">
      <c r="A513" s="5" t="s">
        <v>153</v>
      </c>
      <c r="B513" s="52"/>
      <c r="C513" s="5" t="s">
        <v>62</v>
      </c>
      <c r="D513" s="52">
        <v>35</v>
      </c>
      <c r="E513" s="52">
        <f t="shared" si="49"/>
        <v>0</v>
      </c>
      <c r="F513" s="5"/>
    </row>
    <row r="514" spans="1:6" ht="16.5" x14ac:dyDescent="0.55000000000000004">
      <c r="A514" s="5" t="s">
        <v>89</v>
      </c>
      <c r="B514" s="52"/>
      <c r="C514" s="5" t="s">
        <v>119</v>
      </c>
      <c r="D514" s="54">
        <f>'PH Umum 2024'!F37</f>
        <v>28903.645833333332</v>
      </c>
      <c r="E514" s="52">
        <f t="shared" si="49"/>
        <v>0</v>
      </c>
      <c r="F514" s="5"/>
    </row>
    <row r="515" spans="1:6" ht="14.5" x14ac:dyDescent="0.35">
      <c r="A515" s="5" t="s">
        <v>179</v>
      </c>
      <c r="B515" s="52"/>
      <c r="C515" s="5" t="s">
        <v>130</v>
      </c>
      <c r="D515" s="52">
        <v>10000</v>
      </c>
      <c r="E515" s="52">
        <f t="shared" si="49"/>
        <v>0</v>
      </c>
      <c r="F515" s="5"/>
    </row>
    <row r="516" spans="1:6" ht="14.5" x14ac:dyDescent="0.35">
      <c r="A516" s="5"/>
      <c r="B516" s="5"/>
      <c r="C516" s="5"/>
      <c r="D516" s="5"/>
      <c r="E516" s="52">
        <f t="shared" ref="E516:E518" si="50">B516*D516</f>
        <v>0</v>
      </c>
      <c r="F516" s="5"/>
    </row>
    <row r="517" spans="1:6" ht="14.5" x14ac:dyDescent="0.35">
      <c r="A517" s="5"/>
      <c r="B517" s="5"/>
      <c r="C517" s="5"/>
      <c r="D517" s="5"/>
      <c r="E517" s="52">
        <f t="shared" si="50"/>
        <v>0</v>
      </c>
      <c r="F517" s="5"/>
    </row>
    <row r="518" spans="1:6" ht="14.5" x14ac:dyDescent="0.35">
      <c r="A518" s="5"/>
      <c r="B518" s="5"/>
      <c r="C518" s="5"/>
      <c r="D518" s="5"/>
      <c r="E518" s="52">
        <f t="shared" si="50"/>
        <v>0</v>
      </c>
      <c r="F518" s="5"/>
    </row>
    <row r="519" spans="1:6" ht="14.5" x14ac:dyDescent="0.35">
      <c r="A519" s="5"/>
      <c r="B519" s="5"/>
      <c r="C519" s="5"/>
      <c r="D519" s="5"/>
      <c r="E519" s="5"/>
      <c r="F519" s="5"/>
    </row>
    <row r="520" spans="1:6" ht="14.5" x14ac:dyDescent="0.35">
      <c r="A520" s="39" t="s">
        <v>315</v>
      </c>
      <c r="B520" s="1"/>
      <c r="C520" s="1"/>
      <c r="D520" s="1"/>
      <c r="E520" s="1"/>
      <c r="F520" s="51">
        <f>SUM(E522:E529)</f>
        <v>1963.0729166666665</v>
      </c>
    </row>
    <row r="521" spans="1:6" ht="14.5" x14ac:dyDescent="0.35">
      <c r="A521" s="5"/>
      <c r="B521" s="5" t="s">
        <v>2</v>
      </c>
      <c r="C521" s="5"/>
      <c r="D521" s="5" t="s">
        <v>3</v>
      </c>
      <c r="E521" s="5" t="s">
        <v>4</v>
      </c>
      <c r="F521" s="5"/>
    </row>
    <row r="522" spans="1:6" ht="14.5" x14ac:dyDescent="0.35">
      <c r="A522" s="5" t="s">
        <v>178</v>
      </c>
      <c r="B522" s="52">
        <v>0.01</v>
      </c>
      <c r="C522" s="5" t="s">
        <v>130</v>
      </c>
      <c r="D522" s="53">
        <v>95000</v>
      </c>
      <c r="E522" s="52">
        <f t="shared" ref="E522:E529" si="51">B522*D522</f>
        <v>950</v>
      </c>
      <c r="F522" s="5"/>
    </row>
    <row r="523" spans="1:6" ht="14.5" x14ac:dyDescent="0.35">
      <c r="A523" s="5" t="s">
        <v>153</v>
      </c>
      <c r="B523" s="52">
        <v>1</v>
      </c>
      <c r="C523" s="5" t="s">
        <v>62</v>
      </c>
      <c r="D523" s="52">
        <v>35</v>
      </c>
      <c r="E523" s="52">
        <f t="shared" si="51"/>
        <v>35</v>
      </c>
      <c r="F523" s="5"/>
    </row>
    <row r="524" spans="1:6" ht="15.75" customHeight="1" x14ac:dyDescent="0.55000000000000004">
      <c r="A524" s="5" t="s">
        <v>89</v>
      </c>
      <c r="B524" s="52">
        <v>0.02</v>
      </c>
      <c r="C524" s="5" t="s">
        <v>119</v>
      </c>
      <c r="D524" s="54">
        <f>'PH Umum 2024'!F37</f>
        <v>28903.645833333332</v>
      </c>
      <c r="E524" s="52">
        <f t="shared" si="51"/>
        <v>578.07291666666663</v>
      </c>
      <c r="F524" s="5"/>
    </row>
    <row r="525" spans="1:6" ht="14.5" x14ac:dyDescent="0.35">
      <c r="A525" s="5" t="s">
        <v>179</v>
      </c>
      <c r="B525" s="52">
        <v>0.04</v>
      </c>
      <c r="C525" s="5" t="s">
        <v>130</v>
      </c>
      <c r="D525" s="52">
        <v>10000</v>
      </c>
      <c r="E525" s="52">
        <f t="shared" si="51"/>
        <v>400</v>
      </c>
      <c r="F525" s="5"/>
    </row>
    <row r="526" spans="1:6" ht="14.5" x14ac:dyDescent="0.35">
      <c r="A526" s="5"/>
      <c r="B526" s="52"/>
      <c r="C526" s="5"/>
      <c r="D526" s="53"/>
      <c r="E526" s="52">
        <f t="shared" si="51"/>
        <v>0</v>
      </c>
      <c r="F526" s="5"/>
    </row>
    <row r="527" spans="1:6" ht="14.5" x14ac:dyDescent="0.35">
      <c r="A527" s="5"/>
      <c r="B527" s="52"/>
      <c r="C527" s="5"/>
      <c r="D527" s="52"/>
      <c r="E527" s="52">
        <f t="shared" si="51"/>
        <v>0</v>
      </c>
      <c r="F527" s="5"/>
    </row>
    <row r="528" spans="1:6" ht="16.5" x14ac:dyDescent="0.55000000000000004">
      <c r="A528" s="5"/>
      <c r="B528" s="52"/>
      <c r="C528" s="5"/>
      <c r="D528" s="54"/>
      <c r="E528" s="52">
        <f t="shared" si="51"/>
        <v>0</v>
      </c>
      <c r="F528" s="5"/>
    </row>
    <row r="529" spans="1:6" ht="14.5" x14ac:dyDescent="0.35">
      <c r="A529" s="5"/>
      <c r="B529" s="5"/>
      <c r="C529" s="5"/>
      <c r="D529" s="5"/>
      <c r="E529" s="52">
        <f t="shared" si="51"/>
        <v>0</v>
      </c>
      <c r="F529" s="5"/>
    </row>
    <row r="530" spans="1:6" ht="14.5" x14ac:dyDescent="0.35">
      <c r="A530" s="5"/>
      <c r="B530" s="5"/>
      <c r="C530" s="5"/>
      <c r="D530" s="5"/>
      <c r="E530" s="5"/>
      <c r="F530" s="5"/>
    </row>
    <row r="531" spans="1:6" ht="14.5" x14ac:dyDescent="0.35">
      <c r="A531" s="1" t="s">
        <v>122</v>
      </c>
      <c r="B531" s="1"/>
      <c r="C531" s="1"/>
      <c r="D531" s="1"/>
      <c r="E531" s="1"/>
      <c r="F531" s="51">
        <f>SUM(E533:E541)</f>
        <v>0</v>
      </c>
    </row>
    <row r="532" spans="1:6" ht="14.5" x14ac:dyDescent="0.35">
      <c r="A532" s="5"/>
      <c r="B532" s="5" t="s">
        <v>2</v>
      </c>
      <c r="C532" s="5"/>
      <c r="D532" s="5" t="s">
        <v>3</v>
      </c>
      <c r="E532" s="5" t="s">
        <v>4</v>
      </c>
      <c r="F532" s="5"/>
    </row>
    <row r="533" spans="1:6" ht="14.5" x14ac:dyDescent="0.35">
      <c r="A533" s="5" t="s">
        <v>186</v>
      </c>
      <c r="B533" s="52"/>
      <c r="C533" s="5" t="s">
        <v>187</v>
      </c>
      <c r="D533" s="52">
        <v>35000</v>
      </c>
      <c r="E533" s="52">
        <f t="shared" ref="E533:E541" si="52">B533*D533</f>
        <v>0</v>
      </c>
      <c r="F533" s="5"/>
    </row>
    <row r="534" spans="1:6" ht="14.5" x14ac:dyDescent="0.35">
      <c r="A534" s="5" t="s">
        <v>180</v>
      </c>
      <c r="B534" s="52"/>
      <c r="C534" s="5" t="s">
        <v>130</v>
      </c>
      <c r="D534" s="53">
        <v>85000</v>
      </c>
      <c r="E534" s="52">
        <f t="shared" si="52"/>
        <v>0</v>
      </c>
      <c r="F534" s="5"/>
    </row>
    <row r="535" spans="1:6" ht="14.5" x14ac:dyDescent="0.35">
      <c r="A535" s="5" t="s">
        <v>153</v>
      </c>
      <c r="B535" s="52"/>
      <c r="C535" s="5" t="s">
        <v>62</v>
      </c>
      <c r="D535" s="52">
        <v>35</v>
      </c>
      <c r="E535" s="52">
        <f t="shared" si="52"/>
        <v>0</v>
      </c>
      <c r="F535" s="5"/>
    </row>
    <row r="536" spans="1:6" ht="15.75" customHeight="1" x14ac:dyDescent="0.55000000000000004">
      <c r="A536" s="5" t="s">
        <v>89</v>
      </c>
      <c r="B536" s="52"/>
      <c r="C536" s="5" t="s">
        <v>119</v>
      </c>
      <c r="D536" s="54">
        <f>'PH Umum 2024'!F37</f>
        <v>28903.645833333332</v>
      </c>
      <c r="E536" s="52">
        <f t="shared" si="52"/>
        <v>0</v>
      </c>
      <c r="F536" s="5"/>
    </row>
    <row r="537" spans="1:6" ht="14.5" x14ac:dyDescent="0.35">
      <c r="A537" s="5"/>
      <c r="B537" s="5"/>
      <c r="C537" s="5"/>
      <c r="D537" s="5"/>
      <c r="E537" s="52">
        <f t="shared" si="52"/>
        <v>0</v>
      </c>
      <c r="F537" s="5"/>
    </row>
    <row r="538" spans="1:6" ht="14.5" x14ac:dyDescent="0.35">
      <c r="A538" s="5"/>
      <c r="B538" s="5"/>
      <c r="C538" s="5"/>
      <c r="D538" s="5"/>
      <c r="E538" s="52">
        <f t="shared" si="52"/>
        <v>0</v>
      </c>
      <c r="F538" s="5"/>
    </row>
    <row r="539" spans="1:6" ht="14.5" x14ac:dyDescent="0.35">
      <c r="A539" s="5"/>
      <c r="B539" s="5"/>
      <c r="C539" s="5"/>
      <c r="D539" s="5"/>
      <c r="E539" s="52">
        <f t="shared" si="52"/>
        <v>0</v>
      </c>
      <c r="F539" s="5"/>
    </row>
    <row r="540" spans="1:6" ht="14.5" x14ac:dyDescent="0.35">
      <c r="A540" s="5"/>
      <c r="B540" s="5"/>
      <c r="C540" s="5"/>
      <c r="D540" s="5"/>
      <c r="E540" s="52">
        <f t="shared" si="52"/>
        <v>0</v>
      </c>
      <c r="F540" s="5"/>
    </row>
    <row r="541" spans="1:6" ht="14.5" x14ac:dyDescent="0.35">
      <c r="A541" s="5"/>
      <c r="B541" s="5"/>
      <c r="C541" s="5"/>
      <c r="D541" s="5"/>
      <c r="E541" s="52">
        <f t="shared" si="52"/>
        <v>0</v>
      </c>
      <c r="F541" s="5"/>
    </row>
    <row r="542" spans="1:6" ht="14.5" x14ac:dyDescent="0.35">
      <c r="A542" s="5"/>
      <c r="B542" s="5"/>
      <c r="C542" s="5"/>
      <c r="D542" s="5"/>
      <c r="E542" s="5"/>
      <c r="F542" s="5"/>
    </row>
    <row r="543" spans="1:6" ht="14.5" x14ac:dyDescent="0.35">
      <c r="A543" s="1" t="s">
        <v>316</v>
      </c>
      <c r="B543" s="1"/>
      <c r="C543" s="1"/>
      <c r="D543" s="1"/>
      <c r="E543" s="1"/>
      <c r="F543" s="51">
        <f>SUM(E545:E552)</f>
        <v>13500</v>
      </c>
    </row>
    <row r="544" spans="1:6" ht="14.5" x14ac:dyDescent="0.35">
      <c r="A544" s="5"/>
      <c r="B544" s="5" t="s">
        <v>2</v>
      </c>
      <c r="C544" s="5"/>
      <c r="D544" s="5" t="s">
        <v>3</v>
      </c>
      <c r="E544" s="5" t="s">
        <v>4</v>
      </c>
      <c r="F544" s="5"/>
    </row>
    <row r="545" spans="1:6" ht="14.5" x14ac:dyDescent="0.35">
      <c r="A545" s="5" t="s">
        <v>189</v>
      </c>
      <c r="B545" s="52">
        <v>0.3</v>
      </c>
      <c r="C545" s="5" t="s">
        <v>59</v>
      </c>
      <c r="D545" s="53">
        <v>45000</v>
      </c>
      <c r="E545" s="52">
        <f t="shared" ref="E545:E549" si="53">B545*D545</f>
        <v>13500</v>
      </c>
      <c r="F545" s="5"/>
    </row>
    <row r="546" spans="1:6" ht="14.5" x14ac:dyDescent="0.35">
      <c r="A546" s="5" t="s">
        <v>178</v>
      </c>
      <c r="B546" s="52"/>
      <c r="C546" s="5" t="s">
        <v>130</v>
      </c>
      <c r="D546" s="53">
        <v>95000</v>
      </c>
      <c r="E546" s="52">
        <f t="shared" si="53"/>
        <v>0</v>
      </c>
      <c r="F546" s="5"/>
    </row>
    <row r="547" spans="1:6" ht="15.75" customHeight="1" x14ac:dyDescent="0.35">
      <c r="A547" s="5" t="s">
        <v>153</v>
      </c>
      <c r="B547" s="52"/>
      <c r="C547" s="5" t="s">
        <v>62</v>
      </c>
      <c r="D547" s="52">
        <v>35</v>
      </c>
      <c r="E547" s="52">
        <f t="shared" si="53"/>
        <v>0</v>
      </c>
      <c r="F547" s="5"/>
    </row>
    <row r="548" spans="1:6" ht="16.5" x14ac:dyDescent="0.55000000000000004">
      <c r="A548" s="5" t="s">
        <v>89</v>
      </c>
      <c r="B548" s="52"/>
      <c r="C548" s="5" t="s">
        <v>119</v>
      </c>
      <c r="D548" s="54">
        <f>'PH Umum 2024'!F37</f>
        <v>28903.645833333332</v>
      </c>
      <c r="E548" s="52">
        <f t="shared" si="53"/>
        <v>0</v>
      </c>
      <c r="F548" s="5"/>
    </row>
    <row r="549" spans="1:6" ht="14.5" x14ac:dyDescent="0.35">
      <c r="A549" s="5" t="s">
        <v>179</v>
      </c>
      <c r="B549" s="52"/>
      <c r="C549" s="5" t="s">
        <v>130</v>
      </c>
      <c r="D549" s="52">
        <v>10000</v>
      </c>
      <c r="E549" s="52">
        <f t="shared" si="53"/>
        <v>0</v>
      </c>
      <c r="F549" s="5"/>
    </row>
    <row r="550" spans="1:6" ht="14.5" x14ac:dyDescent="0.35">
      <c r="A550" s="5"/>
      <c r="B550" s="5"/>
      <c r="C550" s="5"/>
      <c r="D550" s="5"/>
      <c r="E550" s="52">
        <f t="shared" ref="E550:E552" si="54">B550*D550</f>
        <v>0</v>
      </c>
      <c r="F550" s="5"/>
    </row>
    <row r="551" spans="1:6" ht="14.5" x14ac:dyDescent="0.35">
      <c r="A551" s="5"/>
      <c r="B551" s="5"/>
      <c r="C551" s="5"/>
      <c r="D551" s="5"/>
      <c r="E551" s="52">
        <f t="shared" si="54"/>
        <v>0</v>
      </c>
      <c r="F551" s="5"/>
    </row>
    <row r="552" spans="1:6" ht="14.5" x14ac:dyDescent="0.35">
      <c r="A552" s="5"/>
      <c r="B552" s="5"/>
      <c r="C552" s="5"/>
      <c r="D552" s="5"/>
      <c r="E552" s="52">
        <f t="shared" si="54"/>
        <v>0</v>
      </c>
      <c r="F552" s="5"/>
    </row>
    <row r="553" spans="1:6" ht="14.5" x14ac:dyDescent="0.35">
      <c r="A553" s="5"/>
      <c r="B553" s="5"/>
      <c r="C553" s="5"/>
      <c r="D553" s="5"/>
      <c r="E553" s="5"/>
      <c r="F553" s="5"/>
    </row>
    <row r="554" spans="1:6" ht="14.5" x14ac:dyDescent="0.35">
      <c r="A554" s="1" t="s">
        <v>188</v>
      </c>
      <c r="B554" s="1"/>
      <c r="C554" s="1"/>
      <c r="D554" s="1"/>
      <c r="E554" s="1"/>
      <c r="F554" s="51">
        <f>SUM(E556:E564)</f>
        <v>1963.0729166666665</v>
      </c>
    </row>
    <row r="555" spans="1:6" ht="14.5" x14ac:dyDescent="0.35">
      <c r="A555" s="5"/>
      <c r="B555" s="5" t="s">
        <v>2</v>
      </c>
      <c r="C555" s="5"/>
      <c r="D555" s="5" t="s">
        <v>3</v>
      </c>
      <c r="E555" s="5" t="s">
        <v>4</v>
      </c>
      <c r="F555" s="5"/>
    </row>
    <row r="556" spans="1:6" ht="14.5" x14ac:dyDescent="0.35">
      <c r="A556" s="5" t="s">
        <v>176</v>
      </c>
      <c r="B556" s="52">
        <v>0.01</v>
      </c>
      <c r="C556" s="5" t="s">
        <v>130</v>
      </c>
      <c r="D556" s="53">
        <v>95000</v>
      </c>
      <c r="E556" s="52">
        <f t="shared" ref="E556:E559" si="55">B556*D556</f>
        <v>950</v>
      </c>
      <c r="F556" s="5"/>
    </row>
    <row r="557" spans="1:6" ht="14.5" x14ac:dyDescent="0.35">
      <c r="A557" s="5" t="s">
        <v>153</v>
      </c>
      <c r="B557" s="52">
        <v>1</v>
      </c>
      <c r="C557" s="5" t="s">
        <v>62</v>
      </c>
      <c r="D557" s="52">
        <v>35</v>
      </c>
      <c r="E557" s="52">
        <f t="shared" si="55"/>
        <v>35</v>
      </c>
      <c r="F557" s="5"/>
    </row>
    <row r="558" spans="1:6" ht="16.5" x14ac:dyDescent="0.55000000000000004">
      <c r="A558" s="5" t="s">
        <v>89</v>
      </c>
      <c r="B558" s="52">
        <v>0.02</v>
      </c>
      <c r="C558" s="5" t="s">
        <v>119</v>
      </c>
      <c r="D558" s="54">
        <f>'PH Umum 2024'!F37</f>
        <v>28903.645833333332</v>
      </c>
      <c r="E558" s="52">
        <f t="shared" si="55"/>
        <v>578.07291666666663</v>
      </c>
      <c r="F558" s="5"/>
    </row>
    <row r="559" spans="1:6" ht="14.5" x14ac:dyDescent="0.35">
      <c r="A559" s="5" t="s">
        <v>179</v>
      </c>
      <c r="B559" s="52">
        <v>0.04</v>
      </c>
      <c r="C559" s="5" t="s">
        <v>130</v>
      </c>
      <c r="D559" s="52">
        <v>10000</v>
      </c>
      <c r="E559" s="52">
        <f t="shared" si="55"/>
        <v>400</v>
      </c>
      <c r="F559" s="5"/>
    </row>
    <row r="560" spans="1:6" ht="14.5" x14ac:dyDescent="0.35">
      <c r="A560" s="5"/>
      <c r="B560" s="52"/>
      <c r="C560" s="5"/>
      <c r="D560" s="52"/>
      <c r="E560" s="52"/>
      <c r="F560" s="5"/>
    </row>
    <row r="561" spans="1:6" ht="14.5" x14ac:dyDescent="0.35">
      <c r="A561" s="5"/>
      <c r="B561" s="52"/>
      <c r="C561" s="5"/>
      <c r="D561" s="53"/>
      <c r="E561" s="52"/>
      <c r="F561" s="5"/>
    </row>
    <row r="562" spans="1:6" ht="14.5" x14ac:dyDescent="0.35">
      <c r="A562" s="5"/>
      <c r="B562" s="52"/>
      <c r="C562" s="5"/>
      <c r="D562" s="52"/>
      <c r="E562" s="52"/>
      <c r="F562" s="5"/>
    </row>
    <row r="563" spans="1:6" ht="16.5" x14ac:dyDescent="0.55000000000000004">
      <c r="A563" s="5"/>
      <c r="B563" s="52"/>
      <c r="C563" s="5"/>
      <c r="D563" s="54"/>
      <c r="E563" s="52"/>
      <c r="F563" s="5"/>
    </row>
    <row r="564" spans="1:6" ht="14.5" x14ac:dyDescent="0.35">
      <c r="A564" s="5"/>
      <c r="B564" s="5"/>
      <c r="C564" s="5"/>
      <c r="D564" s="5"/>
      <c r="E564" s="52">
        <f t="shared" ref="E564" si="56">B564*D564</f>
        <v>0</v>
      </c>
      <c r="F564" s="5"/>
    </row>
    <row r="565" spans="1:6" ht="14.5" x14ac:dyDescent="0.35">
      <c r="A565" s="5"/>
      <c r="B565" s="5"/>
      <c r="C565" s="5"/>
      <c r="D565" s="5"/>
      <c r="E565" s="5"/>
      <c r="F565" s="5"/>
    </row>
    <row r="566" spans="1:6" ht="14.5" x14ac:dyDescent="0.35">
      <c r="A566" s="1" t="s">
        <v>122</v>
      </c>
      <c r="B566" s="1"/>
      <c r="C566" s="1"/>
      <c r="D566" s="1"/>
      <c r="E566" s="1"/>
      <c r="F566" s="51">
        <f>SUM(E568:E576)</f>
        <v>0</v>
      </c>
    </row>
    <row r="567" spans="1:6" ht="14.5" x14ac:dyDescent="0.35">
      <c r="A567" s="5"/>
      <c r="B567" s="5" t="s">
        <v>2</v>
      </c>
      <c r="C567" s="5"/>
      <c r="D567" s="5" t="s">
        <v>3</v>
      </c>
      <c r="E567" s="5" t="s">
        <v>4</v>
      </c>
      <c r="F567" s="5"/>
    </row>
    <row r="568" spans="1:6" ht="14.5" x14ac:dyDescent="0.35">
      <c r="A568" s="5" t="s">
        <v>189</v>
      </c>
      <c r="B568" s="52"/>
      <c r="C568" s="5" t="s">
        <v>59</v>
      </c>
      <c r="D568" s="53">
        <v>45000</v>
      </c>
      <c r="E568" s="52">
        <f t="shared" ref="E568:E576" si="57">B568*D568</f>
        <v>0</v>
      </c>
      <c r="F568" s="5"/>
    </row>
    <row r="569" spans="1:6" ht="14.5" x14ac:dyDescent="0.35">
      <c r="A569" s="5" t="s">
        <v>180</v>
      </c>
      <c r="B569" s="52"/>
      <c r="C569" s="5" t="s">
        <v>130</v>
      </c>
      <c r="D569" s="53">
        <v>85000</v>
      </c>
      <c r="E569" s="52">
        <f t="shared" si="57"/>
        <v>0</v>
      </c>
      <c r="F569" s="5"/>
    </row>
    <row r="570" spans="1:6" ht="14.5" x14ac:dyDescent="0.35">
      <c r="A570" s="5" t="s">
        <v>153</v>
      </c>
      <c r="B570" s="52"/>
      <c r="C570" s="5" t="s">
        <v>62</v>
      </c>
      <c r="D570" s="52">
        <v>35</v>
      </c>
      <c r="E570" s="52">
        <f t="shared" si="57"/>
        <v>0</v>
      </c>
      <c r="F570" s="5"/>
    </row>
    <row r="571" spans="1:6" ht="15.75" customHeight="1" x14ac:dyDescent="0.55000000000000004">
      <c r="A571" s="5" t="s">
        <v>89</v>
      </c>
      <c r="B571" s="52"/>
      <c r="C571" s="5" t="s">
        <v>119</v>
      </c>
      <c r="D571" s="54">
        <f>'PH Umum 2024'!F37</f>
        <v>28903.645833333332</v>
      </c>
      <c r="E571" s="52">
        <f t="shared" si="57"/>
        <v>0</v>
      </c>
      <c r="F571" s="5"/>
    </row>
    <row r="572" spans="1:6" ht="14.5" x14ac:dyDescent="0.35">
      <c r="A572" s="5"/>
      <c r="B572" s="5"/>
      <c r="C572" s="5"/>
      <c r="D572" s="5"/>
      <c r="E572" s="52">
        <f t="shared" si="57"/>
        <v>0</v>
      </c>
      <c r="F572" s="5"/>
    </row>
    <row r="573" spans="1:6" ht="14.5" x14ac:dyDescent="0.35">
      <c r="A573" s="5"/>
      <c r="B573" s="5"/>
      <c r="C573" s="5"/>
      <c r="D573" s="5"/>
      <c r="E573" s="52">
        <f t="shared" si="57"/>
        <v>0</v>
      </c>
      <c r="F573" s="5"/>
    </row>
    <row r="574" spans="1:6" ht="14.5" x14ac:dyDescent="0.35">
      <c r="A574" s="5"/>
      <c r="B574" s="5"/>
      <c r="C574" s="5"/>
      <c r="D574" s="5"/>
      <c r="E574" s="52">
        <f t="shared" si="57"/>
        <v>0</v>
      </c>
      <c r="F574" s="5"/>
    </row>
    <row r="575" spans="1:6" ht="14.5" x14ac:dyDescent="0.35">
      <c r="A575" s="5"/>
      <c r="B575" s="5"/>
      <c r="C575" s="5"/>
      <c r="D575" s="5"/>
      <c r="E575" s="52">
        <f t="shared" si="57"/>
        <v>0</v>
      </c>
      <c r="F575" s="5"/>
    </row>
    <row r="576" spans="1:6" ht="14.5" x14ac:dyDescent="0.35">
      <c r="A576" s="5"/>
      <c r="B576" s="5"/>
      <c r="C576" s="5"/>
      <c r="D576" s="5"/>
      <c r="E576" s="52">
        <f t="shared" si="57"/>
        <v>0</v>
      </c>
      <c r="F576" s="5"/>
    </row>
    <row r="577" spans="1:6" ht="14.5" x14ac:dyDescent="0.35">
      <c r="A577" s="5"/>
      <c r="B577" s="5"/>
      <c r="C577" s="5"/>
      <c r="D577" s="5"/>
      <c r="E577" s="5"/>
      <c r="F577" s="5"/>
    </row>
    <row r="578" spans="1:6" ht="14.5" x14ac:dyDescent="0.35">
      <c r="A578" s="1" t="s">
        <v>317</v>
      </c>
      <c r="B578" s="1"/>
      <c r="C578" s="1"/>
      <c r="D578" s="1"/>
      <c r="E578" s="1"/>
      <c r="F578" s="51">
        <f>SUM(E580:E588)</f>
        <v>4800</v>
      </c>
    </row>
    <row r="579" spans="1:6" ht="14.5" x14ac:dyDescent="0.35">
      <c r="A579" s="5"/>
      <c r="B579" s="5" t="s">
        <v>2</v>
      </c>
      <c r="C579" s="5"/>
      <c r="D579" s="5" t="s">
        <v>3</v>
      </c>
      <c r="E579" s="5" t="s">
        <v>4</v>
      </c>
      <c r="F579" s="5"/>
    </row>
    <row r="580" spans="1:6" ht="14.5" x14ac:dyDescent="0.35">
      <c r="A580" s="39" t="s">
        <v>190</v>
      </c>
      <c r="B580" s="52">
        <v>0.3</v>
      </c>
      <c r="C580" s="5" t="s">
        <v>59</v>
      </c>
      <c r="D580" s="53">
        <v>16000</v>
      </c>
      <c r="E580" s="52">
        <f t="shared" ref="E580" si="58">B580*D580</f>
        <v>4800</v>
      </c>
      <c r="F580" s="5"/>
    </row>
    <row r="581" spans="1:6" ht="14.5" x14ac:dyDescent="0.35">
      <c r="A581" s="39" t="s">
        <v>171</v>
      </c>
      <c r="B581" s="52"/>
      <c r="C581" s="5" t="s">
        <v>172</v>
      </c>
      <c r="D581" s="53">
        <v>500</v>
      </c>
      <c r="E581" s="52">
        <f t="shared" ref="E581:E588" si="59">B581*D581</f>
        <v>0</v>
      </c>
      <c r="F581" s="5"/>
    </row>
    <row r="582" spans="1:6" ht="14.5" x14ac:dyDescent="0.35">
      <c r="A582" s="39" t="s">
        <v>176</v>
      </c>
      <c r="B582" s="52"/>
      <c r="C582" s="5" t="s">
        <v>130</v>
      </c>
      <c r="D582" s="53">
        <v>95000</v>
      </c>
      <c r="E582" s="52">
        <f t="shared" si="59"/>
        <v>0</v>
      </c>
      <c r="F582" s="5"/>
    </row>
    <row r="583" spans="1:6" ht="14.5" x14ac:dyDescent="0.35">
      <c r="A583" s="5" t="s">
        <v>153</v>
      </c>
      <c r="B583" s="52"/>
      <c r="C583" s="5" t="s">
        <v>62</v>
      </c>
      <c r="D583" s="52">
        <v>35</v>
      </c>
      <c r="E583" s="52">
        <f t="shared" si="59"/>
        <v>0</v>
      </c>
      <c r="F583" s="5"/>
    </row>
    <row r="584" spans="1:6" ht="14.5" x14ac:dyDescent="0.35">
      <c r="A584" s="5" t="s">
        <v>161</v>
      </c>
      <c r="B584" s="52"/>
      <c r="C584" s="5" t="s">
        <v>162</v>
      </c>
      <c r="D584" s="53">
        <v>15500</v>
      </c>
      <c r="E584" s="52">
        <f t="shared" si="59"/>
        <v>0</v>
      </c>
      <c r="F584" s="5"/>
    </row>
    <row r="585" spans="1:6" ht="15.75" customHeight="1" x14ac:dyDescent="0.55000000000000004">
      <c r="A585" s="5" t="s">
        <v>89</v>
      </c>
      <c r="B585" s="52"/>
      <c r="C585" s="5" t="s">
        <v>119</v>
      </c>
      <c r="D585" s="54">
        <f>'PH Umum 2024'!F37</f>
        <v>28903.645833333332</v>
      </c>
      <c r="E585" s="52">
        <f t="shared" si="59"/>
        <v>0</v>
      </c>
      <c r="F585" s="5"/>
    </row>
    <row r="586" spans="1:6" ht="14.5" x14ac:dyDescent="0.35">
      <c r="A586" s="5"/>
      <c r="B586" s="5"/>
      <c r="C586" s="5"/>
      <c r="D586" s="5"/>
      <c r="E586" s="52">
        <f t="shared" si="59"/>
        <v>0</v>
      </c>
      <c r="F586" s="5"/>
    </row>
    <row r="587" spans="1:6" ht="14.5" x14ac:dyDescent="0.35">
      <c r="A587" s="5"/>
      <c r="B587" s="5"/>
      <c r="C587" s="5"/>
      <c r="D587" s="5"/>
      <c r="E587" s="52">
        <f t="shared" si="59"/>
        <v>0</v>
      </c>
      <c r="F587" s="5"/>
    </row>
    <row r="588" spans="1:6" ht="14.5" x14ac:dyDescent="0.35">
      <c r="A588" s="5"/>
      <c r="B588" s="5"/>
      <c r="C588" s="5"/>
      <c r="D588" s="5"/>
      <c r="E588" s="52">
        <f t="shared" si="59"/>
        <v>0</v>
      </c>
      <c r="F588" s="5"/>
    </row>
    <row r="589" spans="1:6" ht="14.5" x14ac:dyDescent="0.35">
      <c r="A589" s="5"/>
      <c r="B589" s="5"/>
      <c r="C589" s="5"/>
      <c r="D589" s="5"/>
      <c r="E589" s="5"/>
      <c r="F589" s="5"/>
    </row>
    <row r="590" spans="1:6" ht="14.5" x14ac:dyDescent="0.35">
      <c r="A590" s="1" t="s">
        <v>216</v>
      </c>
      <c r="B590" s="1"/>
      <c r="C590" s="1"/>
      <c r="D590" s="1"/>
      <c r="E590" s="1"/>
      <c r="F590" s="51">
        <f>SUM(E592:E599)</f>
        <v>5834.609375</v>
      </c>
    </row>
    <row r="591" spans="1:6" ht="14.5" x14ac:dyDescent="0.35">
      <c r="A591" s="5"/>
      <c r="B591" s="5" t="s">
        <v>2</v>
      </c>
      <c r="C591" s="5"/>
      <c r="D591" s="5" t="s">
        <v>3</v>
      </c>
      <c r="E591" s="5" t="s">
        <v>4</v>
      </c>
      <c r="F591" s="5"/>
    </row>
    <row r="592" spans="1:6" ht="14.5" x14ac:dyDescent="0.35">
      <c r="A592" s="39" t="s">
        <v>171</v>
      </c>
      <c r="B592" s="53">
        <v>1</v>
      </c>
      <c r="C592" s="39" t="s">
        <v>172</v>
      </c>
      <c r="D592" s="53">
        <v>500</v>
      </c>
      <c r="E592" s="52">
        <f t="shared" ref="E592:E599" si="60">B592*D592</f>
        <v>500</v>
      </c>
      <c r="F592" s="5"/>
    </row>
    <row r="593" spans="1:6" ht="14.5" x14ac:dyDescent="0.35">
      <c r="A593" s="5" t="s">
        <v>178</v>
      </c>
      <c r="B593" s="52">
        <v>0.01</v>
      </c>
      <c r="C593" s="5" t="s">
        <v>130</v>
      </c>
      <c r="D593" s="53">
        <v>95000</v>
      </c>
      <c r="E593" s="52">
        <f t="shared" si="60"/>
        <v>950</v>
      </c>
      <c r="F593" s="5"/>
    </row>
    <row r="594" spans="1:6" ht="14.5" x14ac:dyDescent="0.35">
      <c r="A594" s="5" t="s">
        <v>153</v>
      </c>
      <c r="B594" s="53">
        <v>0.5</v>
      </c>
      <c r="C594" s="5" t="s">
        <v>62</v>
      </c>
      <c r="D594" s="52">
        <v>35</v>
      </c>
      <c r="E594" s="52">
        <f t="shared" si="60"/>
        <v>17.5</v>
      </c>
      <c r="F594" s="5"/>
    </row>
    <row r="595" spans="1:6" ht="14.5" x14ac:dyDescent="0.35">
      <c r="A595" s="5" t="s">
        <v>161</v>
      </c>
      <c r="B595" s="52">
        <v>0.2</v>
      </c>
      <c r="C595" s="5" t="s">
        <v>162</v>
      </c>
      <c r="D595" s="53">
        <v>15500</v>
      </c>
      <c r="E595" s="52">
        <f t="shared" si="60"/>
        <v>3100</v>
      </c>
      <c r="F595" s="5"/>
    </row>
    <row r="596" spans="1:6" ht="16.5" x14ac:dyDescent="0.55000000000000004">
      <c r="A596" s="5" t="s">
        <v>89</v>
      </c>
      <c r="B596" s="52">
        <v>0.03</v>
      </c>
      <c r="C596" s="5" t="s">
        <v>119</v>
      </c>
      <c r="D596" s="54">
        <f>'PH Umum 2024'!F37</f>
        <v>28903.645833333332</v>
      </c>
      <c r="E596" s="52">
        <f t="shared" si="60"/>
        <v>867.10937499999989</v>
      </c>
      <c r="F596" s="5"/>
    </row>
    <row r="597" spans="1:6" ht="14.5" x14ac:dyDescent="0.35">
      <c r="A597" s="5" t="s">
        <v>179</v>
      </c>
      <c r="B597" s="52">
        <v>0.04</v>
      </c>
      <c r="C597" s="5" t="s">
        <v>130</v>
      </c>
      <c r="D597" s="52">
        <v>10000</v>
      </c>
      <c r="E597" s="52">
        <f t="shared" si="60"/>
        <v>400</v>
      </c>
      <c r="F597" s="5"/>
    </row>
    <row r="598" spans="1:6" ht="14.5" x14ac:dyDescent="0.35">
      <c r="A598" s="5"/>
      <c r="B598" s="5"/>
      <c r="C598" s="5"/>
      <c r="D598" s="5"/>
      <c r="E598" s="52">
        <f t="shared" si="60"/>
        <v>0</v>
      </c>
      <c r="F598" s="5"/>
    </row>
    <row r="599" spans="1:6" ht="14.5" x14ac:dyDescent="0.35">
      <c r="A599" s="5"/>
      <c r="B599" s="5"/>
      <c r="C599" s="5"/>
      <c r="D599" s="5"/>
      <c r="E599" s="52">
        <f t="shared" si="60"/>
        <v>0</v>
      </c>
      <c r="F599" s="5"/>
    </row>
    <row r="600" spans="1:6" ht="14.5" x14ac:dyDescent="0.35">
      <c r="A600" s="5"/>
      <c r="B600" s="5"/>
      <c r="C600" s="5"/>
      <c r="D600" s="5"/>
      <c r="E600" s="5"/>
      <c r="F600" s="5"/>
    </row>
    <row r="601" spans="1:6" ht="14.5" x14ac:dyDescent="0.35">
      <c r="A601" s="1" t="s">
        <v>122</v>
      </c>
      <c r="B601" s="1"/>
      <c r="C601" s="1"/>
      <c r="D601" s="1"/>
      <c r="E601" s="1"/>
      <c r="F601" s="51">
        <f>SUM(E603:E611)</f>
        <v>0</v>
      </c>
    </row>
    <row r="602" spans="1:6" ht="14.5" x14ac:dyDescent="0.35">
      <c r="A602" s="5"/>
      <c r="B602" s="5" t="s">
        <v>2</v>
      </c>
      <c r="C602" s="5"/>
      <c r="D602" s="5" t="s">
        <v>3</v>
      </c>
      <c r="E602" s="5" t="s">
        <v>4</v>
      </c>
      <c r="F602" s="5"/>
    </row>
    <row r="603" spans="1:6" ht="14.5" x14ac:dyDescent="0.35">
      <c r="A603" s="39" t="s">
        <v>190</v>
      </c>
      <c r="B603" s="52"/>
      <c r="C603" s="5" t="s">
        <v>59</v>
      </c>
      <c r="D603" s="53">
        <v>16000</v>
      </c>
      <c r="E603" s="52">
        <f t="shared" ref="E603:E611" si="61">B603*D603</f>
        <v>0</v>
      </c>
      <c r="F603" s="5"/>
    </row>
    <row r="604" spans="1:6" ht="14.5" x14ac:dyDescent="0.35">
      <c r="A604" s="39" t="s">
        <v>171</v>
      </c>
      <c r="B604" s="53"/>
      <c r="C604" s="39" t="s">
        <v>172</v>
      </c>
      <c r="D604" s="53">
        <v>500</v>
      </c>
      <c r="E604" s="52">
        <f t="shared" si="61"/>
        <v>0</v>
      </c>
      <c r="F604" s="5"/>
    </row>
    <row r="605" spans="1:6" ht="14.5" x14ac:dyDescent="0.35">
      <c r="A605" s="5" t="s">
        <v>180</v>
      </c>
      <c r="B605" s="53"/>
      <c r="C605" s="5" t="s">
        <v>130</v>
      </c>
      <c r="D605" s="53">
        <v>85000</v>
      </c>
      <c r="E605" s="52">
        <f t="shared" si="61"/>
        <v>0</v>
      </c>
      <c r="F605" s="5"/>
    </row>
    <row r="606" spans="1:6" ht="14.5" x14ac:dyDescent="0.35">
      <c r="A606" s="5" t="s">
        <v>153</v>
      </c>
      <c r="B606" s="52"/>
      <c r="C606" s="5" t="s">
        <v>62</v>
      </c>
      <c r="D606" s="52">
        <v>35</v>
      </c>
      <c r="E606" s="52">
        <f t="shared" si="61"/>
        <v>0</v>
      </c>
      <c r="F606" s="5"/>
    </row>
    <row r="607" spans="1:6" ht="14.5" x14ac:dyDescent="0.35">
      <c r="A607" s="5" t="s">
        <v>161</v>
      </c>
      <c r="B607" s="52"/>
      <c r="C607" s="5" t="s">
        <v>162</v>
      </c>
      <c r="D607" s="53">
        <v>13500</v>
      </c>
      <c r="E607" s="52">
        <f t="shared" si="61"/>
        <v>0</v>
      </c>
      <c r="F607" s="5"/>
    </row>
    <row r="608" spans="1:6" ht="16.5" x14ac:dyDescent="0.55000000000000004">
      <c r="A608" s="5" t="s">
        <v>89</v>
      </c>
      <c r="B608" s="52"/>
      <c r="C608" s="5" t="s">
        <v>119</v>
      </c>
      <c r="D608" s="54">
        <f>'PH Umum 2024'!F37</f>
        <v>28903.645833333332</v>
      </c>
      <c r="E608" s="52">
        <f t="shared" si="61"/>
        <v>0</v>
      </c>
      <c r="F608" s="5"/>
    </row>
    <row r="609" spans="1:6" ht="14.5" x14ac:dyDescent="0.35">
      <c r="A609" s="5"/>
      <c r="B609" s="5"/>
      <c r="C609" s="5"/>
      <c r="D609" s="5"/>
      <c r="E609" s="52">
        <f t="shared" si="61"/>
        <v>0</v>
      </c>
      <c r="F609" s="5"/>
    </row>
    <row r="610" spans="1:6" ht="14.5" x14ac:dyDescent="0.35">
      <c r="A610" s="5"/>
      <c r="B610" s="5"/>
      <c r="C610" s="5"/>
      <c r="D610" s="5"/>
      <c r="E610" s="52">
        <f t="shared" si="61"/>
        <v>0</v>
      </c>
      <c r="F610" s="5"/>
    </row>
    <row r="611" spans="1:6" ht="14.5" x14ac:dyDescent="0.35">
      <c r="A611" s="5"/>
      <c r="B611" s="5"/>
      <c r="C611" s="5"/>
      <c r="D611" s="5"/>
      <c r="E611" s="52">
        <f t="shared" si="61"/>
        <v>0</v>
      </c>
      <c r="F611" s="5"/>
    </row>
    <row r="612" spans="1:6" ht="14.5" x14ac:dyDescent="0.35">
      <c r="A612" s="5"/>
      <c r="B612" s="5"/>
      <c r="C612" s="5"/>
      <c r="D612" s="5"/>
      <c r="E612" s="5"/>
      <c r="F612" s="5"/>
    </row>
    <row r="613" spans="1:6" ht="14.5" x14ac:dyDescent="0.35">
      <c r="A613" s="1" t="s">
        <v>191</v>
      </c>
      <c r="B613" s="1"/>
      <c r="C613" s="1"/>
      <c r="D613" s="1"/>
      <c r="E613" s="1"/>
      <c r="F613" s="51">
        <f>SUM(E615:E623)</f>
        <v>0</v>
      </c>
    </row>
    <row r="614" spans="1:6" ht="14.5" x14ac:dyDescent="0.35">
      <c r="A614" s="5"/>
      <c r="B614" s="5" t="s">
        <v>2</v>
      </c>
      <c r="C614" s="5"/>
      <c r="D614" s="5" t="s">
        <v>3</v>
      </c>
      <c r="E614" s="5" t="s">
        <v>4</v>
      </c>
      <c r="F614" s="5"/>
    </row>
    <row r="615" spans="1:6" ht="14.5" x14ac:dyDescent="0.35">
      <c r="A615" s="5" t="s">
        <v>192</v>
      </c>
      <c r="B615" s="52">
        <v>0</v>
      </c>
      <c r="C615" s="5" t="s">
        <v>193</v>
      </c>
      <c r="D615" s="52">
        <v>0</v>
      </c>
      <c r="E615" s="52">
        <f t="shared" ref="E615:E623" si="62">B615*D615</f>
        <v>0</v>
      </c>
      <c r="F615" s="5"/>
    </row>
    <row r="616" spans="1:6" ht="14.5" x14ac:dyDescent="0.35">
      <c r="A616" s="5" t="s">
        <v>194</v>
      </c>
      <c r="B616" s="52">
        <v>0</v>
      </c>
      <c r="C616" s="5" t="s">
        <v>130</v>
      </c>
      <c r="D616" s="52">
        <v>0</v>
      </c>
      <c r="E616" s="52">
        <f t="shared" si="62"/>
        <v>0</v>
      </c>
      <c r="F616" s="5"/>
    </row>
    <row r="617" spans="1:6" ht="14.5" x14ac:dyDescent="0.35">
      <c r="A617" s="5" t="s">
        <v>153</v>
      </c>
      <c r="B617" s="52">
        <v>0</v>
      </c>
      <c r="C617" s="5" t="s">
        <v>62</v>
      </c>
      <c r="D617" s="52">
        <v>0</v>
      </c>
      <c r="E617" s="52">
        <f t="shared" si="62"/>
        <v>0</v>
      </c>
      <c r="F617" s="5"/>
    </row>
    <row r="618" spans="1:6" ht="14.5" x14ac:dyDescent="0.35">
      <c r="A618" s="5" t="s">
        <v>161</v>
      </c>
      <c r="B618" s="52">
        <v>0</v>
      </c>
      <c r="C618" s="5" t="s">
        <v>162</v>
      </c>
      <c r="D618" s="52">
        <v>0</v>
      </c>
      <c r="E618" s="52">
        <f t="shared" si="62"/>
        <v>0</v>
      </c>
      <c r="F618" s="5"/>
    </row>
    <row r="619" spans="1:6" ht="14.5" x14ac:dyDescent="0.35">
      <c r="A619" s="5" t="s">
        <v>195</v>
      </c>
      <c r="B619" s="52">
        <v>0</v>
      </c>
      <c r="C619" s="5" t="s">
        <v>119</v>
      </c>
      <c r="D619" s="52">
        <v>0</v>
      </c>
      <c r="E619" s="52">
        <f t="shared" si="62"/>
        <v>0</v>
      </c>
      <c r="F619" s="5"/>
    </row>
    <row r="620" spans="1:6" ht="14.5" x14ac:dyDescent="0.35">
      <c r="A620" s="5"/>
      <c r="B620" s="5"/>
      <c r="C620" s="5"/>
      <c r="D620" s="5"/>
      <c r="E620" s="52">
        <f t="shared" si="62"/>
        <v>0</v>
      </c>
      <c r="F620" s="5"/>
    </row>
    <row r="621" spans="1:6" ht="14.5" x14ac:dyDescent="0.35">
      <c r="A621" s="5"/>
      <c r="B621" s="5"/>
      <c r="C621" s="5"/>
      <c r="D621" s="5"/>
      <c r="E621" s="52">
        <f t="shared" si="62"/>
        <v>0</v>
      </c>
      <c r="F621" s="5"/>
    </row>
    <row r="622" spans="1:6" ht="14.5" x14ac:dyDescent="0.35">
      <c r="A622" s="5"/>
      <c r="B622" s="5"/>
      <c r="C622" s="5"/>
      <c r="D622" s="5"/>
      <c r="E622" s="52">
        <f t="shared" si="62"/>
        <v>0</v>
      </c>
      <c r="F622" s="5"/>
    </row>
    <row r="623" spans="1:6" ht="14.5" x14ac:dyDescent="0.35">
      <c r="A623" s="5"/>
      <c r="B623" s="5"/>
      <c r="C623" s="5"/>
      <c r="D623" s="5"/>
      <c r="E623" s="52">
        <f t="shared" si="62"/>
        <v>0</v>
      </c>
      <c r="F623" s="5"/>
    </row>
    <row r="624" spans="1:6" ht="14.5" x14ac:dyDescent="0.35">
      <c r="A624" s="5"/>
      <c r="B624" s="5"/>
      <c r="C624" s="5"/>
      <c r="D624" s="5"/>
      <c r="E624" s="5"/>
      <c r="F624" s="5"/>
    </row>
    <row r="625" spans="1:6" ht="14.5" x14ac:dyDescent="0.35">
      <c r="A625" s="1" t="s">
        <v>196</v>
      </c>
      <c r="B625" s="1"/>
      <c r="C625" s="1"/>
      <c r="D625" s="1"/>
      <c r="E625" s="1"/>
      <c r="F625" s="51">
        <f>SUM(E627:E635)</f>
        <v>0</v>
      </c>
    </row>
    <row r="626" spans="1:6" ht="14.5" x14ac:dyDescent="0.35">
      <c r="A626" s="5"/>
      <c r="B626" s="5" t="s">
        <v>2</v>
      </c>
      <c r="C626" s="5"/>
      <c r="D626" s="5" t="s">
        <v>3</v>
      </c>
      <c r="E626" s="5" t="s">
        <v>4</v>
      </c>
      <c r="F626" s="5"/>
    </row>
    <row r="627" spans="1:6" ht="14.5" x14ac:dyDescent="0.35">
      <c r="A627" s="5" t="s">
        <v>192</v>
      </c>
      <c r="B627" s="52">
        <v>0</v>
      </c>
      <c r="C627" s="5" t="s">
        <v>193</v>
      </c>
      <c r="D627" s="52">
        <v>0</v>
      </c>
      <c r="E627" s="52">
        <f t="shared" ref="E627:E635" si="63">B627*D627</f>
        <v>0</v>
      </c>
      <c r="F627" s="5"/>
    </row>
    <row r="628" spans="1:6" ht="14.5" x14ac:dyDescent="0.35">
      <c r="A628" s="5" t="s">
        <v>178</v>
      </c>
      <c r="B628" s="52">
        <v>0</v>
      </c>
      <c r="C628" s="5" t="s">
        <v>130</v>
      </c>
      <c r="D628" s="52">
        <v>0</v>
      </c>
      <c r="E628" s="52">
        <f t="shared" si="63"/>
        <v>0</v>
      </c>
      <c r="F628" s="5"/>
    </row>
    <row r="629" spans="1:6" ht="14.5" x14ac:dyDescent="0.35">
      <c r="A629" s="5" t="s">
        <v>153</v>
      </c>
      <c r="B629" s="52">
        <v>0</v>
      </c>
      <c r="C629" s="5" t="s">
        <v>62</v>
      </c>
      <c r="D629" s="52">
        <v>0</v>
      </c>
      <c r="E629" s="52">
        <f t="shared" si="63"/>
        <v>0</v>
      </c>
      <c r="F629" s="5"/>
    </row>
    <row r="630" spans="1:6" ht="14.5" x14ac:dyDescent="0.35">
      <c r="A630" s="5" t="s">
        <v>161</v>
      </c>
      <c r="B630" s="52">
        <v>0</v>
      </c>
      <c r="C630" s="5" t="s">
        <v>162</v>
      </c>
      <c r="D630" s="52">
        <v>0</v>
      </c>
      <c r="E630" s="52">
        <f t="shared" si="63"/>
        <v>0</v>
      </c>
      <c r="F630" s="5"/>
    </row>
    <row r="631" spans="1:6" ht="14.5" x14ac:dyDescent="0.35">
      <c r="A631" s="5" t="s">
        <v>89</v>
      </c>
      <c r="B631" s="52">
        <v>0</v>
      </c>
      <c r="C631" s="5" t="s">
        <v>119</v>
      </c>
      <c r="D631" s="52">
        <v>0</v>
      </c>
      <c r="E631" s="52">
        <f t="shared" si="63"/>
        <v>0</v>
      </c>
      <c r="F631" s="5"/>
    </row>
    <row r="632" spans="1:6" ht="14.5" x14ac:dyDescent="0.35">
      <c r="A632" s="5" t="s">
        <v>179</v>
      </c>
      <c r="B632" s="52">
        <v>0</v>
      </c>
      <c r="C632" s="5" t="s">
        <v>130</v>
      </c>
      <c r="D632" s="52">
        <v>0</v>
      </c>
      <c r="E632" s="52">
        <f t="shared" si="63"/>
        <v>0</v>
      </c>
      <c r="F632" s="5"/>
    </row>
    <row r="633" spans="1:6" ht="14.5" x14ac:dyDescent="0.35">
      <c r="A633" s="5"/>
      <c r="B633" s="5"/>
      <c r="C633" s="5"/>
      <c r="D633" s="5"/>
      <c r="E633" s="52">
        <f t="shared" si="63"/>
        <v>0</v>
      </c>
      <c r="F633" s="5"/>
    </row>
    <row r="634" spans="1:6" ht="14.5" x14ac:dyDescent="0.35">
      <c r="A634" s="5"/>
      <c r="B634" s="5"/>
      <c r="C634" s="5"/>
      <c r="D634" s="5"/>
      <c r="E634" s="52">
        <f t="shared" si="63"/>
        <v>0</v>
      </c>
      <c r="F634" s="5"/>
    </row>
    <row r="635" spans="1:6" ht="14.5" x14ac:dyDescent="0.35">
      <c r="A635" s="5"/>
      <c r="B635" s="5"/>
      <c r="C635" s="5"/>
      <c r="D635" s="5"/>
      <c r="E635" s="52">
        <f t="shared" si="63"/>
        <v>0</v>
      </c>
      <c r="F635" s="5"/>
    </row>
    <row r="636" spans="1:6" ht="14.5" x14ac:dyDescent="0.35">
      <c r="A636" s="5"/>
      <c r="B636" s="5"/>
      <c r="C636" s="5"/>
      <c r="D636" s="5"/>
      <c r="E636" s="5"/>
      <c r="F636" s="5"/>
    </row>
    <row r="637" spans="1:6" ht="14.5" x14ac:dyDescent="0.35">
      <c r="A637" s="1" t="s">
        <v>197</v>
      </c>
      <c r="B637" s="1"/>
      <c r="C637" s="1"/>
      <c r="D637" s="1"/>
      <c r="E637" s="1"/>
      <c r="F637" s="51">
        <f>SUM(E639:E647)</f>
        <v>0</v>
      </c>
    </row>
    <row r="638" spans="1:6" ht="14.5" x14ac:dyDescent="0.35">
      <c r="A638" s="5"/>
      <c r="B638" s="5" t="s">
        <v>2</v>
      </c>
      <c r="C638" s="5"/>
      <c r="D638" s="5" t="s">
        <v>3</v>
      </c>
      <c r="E638" s="5" t="s">
        <v>4</v>
      </c>
      <c r="F638" s="5"/>
    </row>
    <row r="639" spans="1:6" ht="14.5" x14ac:dyDescent="0.35">
      <c r="A639" s="5" t="s">
        <v>192</v>
      </c>
      <c r="B639" s="52">
        <v>0</v>
      </c>
      <c r="C639" s="5" t="s">
        <v>193</v>
      </c>
      <c r="D639" s="52">
        <v>0</v>
      </c>
      <c r="E639" s="52">
        <f t="shared" ref="E639:E647" si="64">B639*D639</f>
        <v>0</v>
      </c>
      <c r="F639" s="5"/>
    </row>
    <row r="640" spans="1:6" ht="14.5" x14ac:dyDescent="0.35">
      <c r="A640" s="5" t="s">
        <v>180</v>
      </c>
      <c r="B640" s="52">
        <v>0</v>
      </c>
      <c r="C640" s="5" t="s">
        <v>130</v>
      </c>
      <c r="D640" s="52">
        <v>0</v>
      </c>
      <c r="E640" s="52">
        <f t="shared" si="64"/>
        <v>0</v>
      </c>
      <c r="F640" s="5"/>
    </row>
    <row r="641" spans="1:6" ht="14.5" x14ac:dyDescent="0.35">
      <c r="A641" s="5" t="s">
        <v>153</v>
      </c>
      <c r="B641" s="52">
        <v>0</v>
      </c>
      <c r="C641" s="5" t="s">
        <v>62</v>
      </c>
      <c r="D641" s="52">
        <v>0</v>
      </c>
      <c r="E641" s="52">
        <f t="shared" si="64"/>
        <v>0</v>
      </c>
      <c r="F641" s="5"/>
    </row>
    <row r="642" spans="1:6" ht="14.5" x14ac:dyDescent="0.35">
      <c r="A642" s="5" t="s">
        <v>161</v>
      </c>
      <c r="B642" s="52">
        <v>0</v>
      </c>
      <c r="C642" s="5" t="s">
        <v>162</v>
      </c>
      <c r="D642" s="52">
        <v>0</v>
      </c>
      <c r="E642" s="52">
        <f t="shared" si="64"/>
        <v>0</v>
      </c>
      <c r="F642" s="5"/>
    </row>
    <row r="643" spans="1:6" ht="14.5" x14ac:dyDescent="0.35">
      <c r="A643" s="5" t="s">
        <v>195</v>
      </c>
      <c r="B643" s="52">
        <v>0</v>
      </c>
      <c r="C643" s="5" t="s">
        <v>119</v>
      </c>
      <c r="D643" s="52">
        <v>0</v>
      </c>
      <c r="E643" s="52">
        <f t="shared" si="64"/>
        <v>0</v>
      </c>
      <c r="F643" s="5"/>
    </row>
    <row r="644" spans="1:6" ht="14.5" x14ac:dyDescent="0.35">
      <c r="A644" s="5"/>
      <c r="B644" s="5"/>
      <c r="C644" s="5"/>
      <c r="D644" s="5"/>
      <c r="E644" s="52">
        <f t="shared" si="64"/>
        <v>0</v>
      </c>
      <c r="F644" s="5"/>
    </row>
    <row r="645" spans="1:6" ht="14.5" x14ac:dyDescent="0.35">
      <c r="A645" s="5"/>
      <c r="B645" s="5"/>
      <c r="C645" s="5"/>
      <c r="D645" s="5"/>
      <c r="E645" s="52">
        <f t="shared" si="64"/>
        <v>0</v>
      </c>
      <c r="F645" s="5"/>
    </row>
    <row r="646" spans="1:6" ht="14.5" x14ac:dyDescent="0.35">
      <c r="A646" s="5"/>
      <c r="B646" s="5"/>
      <c r="C646" s="5"/>
      <c r="D646" s="5"/>
      <c r="E646" s="52">
        <f t="shared" si="64"/>
        <v>0</v>
      </c>
      <c r="F646" s="5"/>
    </row>
    <row r="647" spans="1:6" ht="14.5" x14ac:dyDescent="0.35">
      <c r="A647" s="5"/>
      <c r="B647" s="5"/>
      <c r="C647" s="5"/>
      <c r="D647" s="5"/>
      <c r="E647" s="52">
        <f t="shared" si="64"/>
        <v>0</v>
      </c>
      <c r="F647" s="5"/>
    </row>
    <row r="648" spans="1:6" ht="14.5" x14ac:dyDescent="0.35">
      <c r="A648" s="5"/>
      <c r="B648" s="5"/>
      <c r="C648" s="5"/>
      <c r="D648" s="5"/>
      <c r="E648" s="5"/>
      <c r="F648" s="5"/>
    </row>
    <row r="649" spans="1:6" ht="14.5" x14ac:dyDescent="0.35">
      <c r="A649" s="1" t="s">
        <v>198</v>
      </c>
      <c r="B649" s="1"/>
      <c r="C649" s="1"/>
      <c r="D649" s="1"/>
      <c r="E649" s="1"/>
      <c r="F649" s="51">
        <f>SUM(E651:E659)</f>
        <v>11800</v>
      </c>
    </row>
    <row r="650" spans="1:6" ht="14.5" x14ac:dyDescent="0.35">
      <c r="A650" s="5"/>
      <c r="B650" s="5" t="s">
        <v>2</v>
      </c>
      <c r="C650" s="5"/>
      <c r="D650" s="5" t="s">
        <v>3</v>
      </c>
      <c r="E650" s="5" t="s">
        <v>4</v>
      </c>
      <c r="F650" s="5"/>
    </row>
    <row r="651" spans="1:6" ht="14.5" x14ac:dyDescent="0.35">
      <c r="A651" s="5" t="s">
        <v>97</v>
      </c>
      <c r="B651" s="52">
        <v>0.02</v>
      </c>
      <c r="C651" s="5" t="s">
        <v>7</v>
      </c>
      <c r="D651" s="52">
        <v>140000</v>
      </c>
      <c r="E651" s="52">
        <f t="shared" ref="E651:E659" si="65">B651*D651</f>
        <v>2800</v>
      </c>
      <c r="F651" s="5"/>
    </row>
    <row r="652" spans="1:6" ht="14.5" x14ac:dyDescent="0.35">
      <c r="A652" s="5" t="s">
        <v>85</v>
      </c>
      <c r="B652" s="52">
        <v>1</v>
      </c>
      <c r="C652" s="5" t="s">
        <v>7</v>
      </c>
      <c r="D652" s="52">
        <v>4500</v>
      </c>
      <c r="E652" s="52">
        <f t="shared" si="65"/>
        <v>4500</v>
      </c>
      <c r="F652" s="5"/>
    </row>
    <row r="653" spans="1:6" ht="14.5" x14ac:dyDescent="0.35">
      <c r="A653" s="5" t="s">
        <v>87</v>
      </c>
      <c r="B653" s="52">
        <v>0.5</v>
      </c>
      <c r="C653" s="5" t="s">
        <v>7</v>
      </c>
      <c r="D653" s="52">
        <v>9000</v>
      </c>
      <c r="E653" s="52">
        <f t="shared" si="65"/>
        <v>4500</v>
      </c>
      <c r="F653" s="5"/>
    </row>
    <row r="654" spans="1:6" ht="14.5" x14ac:dyDescent="0.35">
      <c r="A654" s="5" t="s">
        <v>89</v>
      </c>
      <c r="B654" s="52">
        <v>0</v>
      </c>
      <c r="C654" s="5" t="s">
        <v>90</v>
      </c>
      <c r="D654" s="52">
        <v>0</v>
      </c>
      <c r="E654" s="52">
        <f t="shared" si="65"/>
        <v>0</v>
      </c>
      <c r="F654" s="5"/>
    </row>
    <row r="655" spans="1:6" ht="14.5" x14ac:dyDescent="0.35">
      <c r="A655" s="5" t="s">
        <v>89</v>
      </c>
      <c r="B655" s="52">
        <v>0</v>
      </c>
      <c r="C655" s="5" t="s">
        <v>90</v>
      </c>
      <c r="D655" s="52">
        <v>0</v>
      </c>
      <c r="E655" s="52">
        <f t="shared" si="65"/>
        <v>0</v>
      </c>
      <c r="F655" s="5"/>
    </row>
    <row r="656" spans="1:6" ht="14.5" x14ac:dyDescent="0.35">
      <c r="A656" s="5" t="s">
        <v>89</v>
      </c>
      <c r="B656" s="52">
        <v>0</v>
      </c>
      <c r="C656" s="5" t="s">
        <v>90</v>
      </c>
      <c r="D656" s="52">
        <v>0</v>
      </c>
      <c r="E656" s="52">
        <f t="shared" si="65"/>
        <v>0</v>
      </c>
      <c r="F656" s="5"/>
    </row>
    <row r="657" spans="1:6" ht="14.5" x14ac:dyDescent="0.35">
      <c r="A657" s="5" t="s">
        <v>89</v>
      </c>
      <c r="B657" s="52">
        <v>0</v>
      </c>
      <c r="C657" s="5" t="s">
        <v>90</v>
      </c>
      <c r="D657" s="52">
        <v>0</v>
      </c>
      <c r="E657" s="52">
        <f t="shared" si="65"/>
        <v>0</v>
      </c>
      <c r="F657" s="5"/>
    </row>
    <row r="658" spans="1:6" ht="14.5" x14ac:dyDescent="0.35">
      <c r="A658" s="5" t="s">
        <v>89</v>
      </c>
      <c r="B658" s="52">
        <v>0</v>
      </c>
      <c r="C658" s="5" t="s">
        <v>90</v>
      </c>
      <c r="D658" s="52">
        <v>0</v>
      </c>
      <c r="E658" s="52">
        <f t="shared" si="65"/>
        <v>0</v>
      </c>
      <c r="F658" s="5"/>
    </row>
    <row r="659" spans="1:6" ht="14.5" x14ac:dyDescent="0.35">
      <c r="A659" s="5" t="s">
        <v>89</v>
      </c>
      <c r="B659" s="52">
        <v>0</v>
      </c>
      <c r="C659" s="5" t="s">
        <v>90</v>
      </c>
      <c r="D659" s="52">
        <v>0</v>
      </c>
      <c r="E659" s="52">
        <f t="shared" si="65"/>
        <v>0</v>
      </c>
      <c r="F659" s="5"/>
    </row>
    <row r="660" spans="1:6" ht="14.5" x14ac:dyDescent="0.35">
      <c r="A660" s="5"/>
      <c r="B660" s="5"/>
      <c r="C660" s="5"/>
      <c r="D660" s="5"/>
      <c r="E660" s="5"/>
      <c r="F660" s="5"/>
    </row>
    <row r="661" spans="1:6" ht="14.5" x14ac:dyDescent="0.35">
      <c r="A661" s="1" t="s">
        <v>198</v>
      </c>
      <c r="B661" s="1"/>
      <c r="C661" s="1"/>
      <c r="D661" s="1"/>
      <c r="E661" s="1"/>
      <c r="F661" s="51">
        <f>SUM(E663:E671)</f>
        <v>11800</v>
      </c>
    </row>
    <row r="662" spans="1:6" ht="14.5" x14ac:dyDescent="0.35">
      <c r="A662" s="5"/>
      <c r="B662" s="5" t="s">
        <v>2</v>
      </c>
      <c r="C662" s="5"/>
      <c r="D662" s="5" t="s">
        <v>3</v>
      </c>
      <c r="E662" s="5" t="s">
        <v>4</v>
      </c>
      <c r="F662" s="5"/>
    </row>
    <row r="663" spans="1:6" ht="14.5" x14ac:dyDescent="0.35">
      <c r="A663" s="5" t="s">
        <v>97</v>
      </c>
      <c r="B663" s="52">
        <v>0.02</v>
      </c>
      <c r="C663" s="5" t="s">
        <v>7</v>
      </c>
      <c r="D663" s="52">
        <v>140000</v>
      </c>
      <c r="E663" s="52">
        <f t="shared" ref="E663:E671" si="66">B663*D663</f>
        <v>2800</v>
      </c>
      <c r="F663" s="5"/>
    </row>
    <row r="664" spans="1:6" ht="14.5" x14ac:dyDescent="0.35">
      <c r="A664" s="5" t="s">
        <v>85</v>
      </c>
      <c r="B664" s="52">
        <v>1</v>
      </c>
      <c r="C664" s="5" t="s">
        <v>7</v>
      </c>
      <c r="D664" s="52">
        <v>4500</v>
      </c>
      <c r="E664" s="52">
        <f t="shared" si="66"/>
        <v>4500</v>
      </c>
      <c r="F664" s="5"/>
    </row>
    <row r="665" spans="1:6" ht="14.5" x14ac:dyDescent="0.35">
      <c r="A665" s="5" t="s">
        <v>87</v>
      </c>
      <c r="B665" s="52">
        <v>0.5</v>
      </c>
      <c r="C665" s="5" t="s">
        <v>7</v>
      </c>
      <c r="D665" s="52">
        <v>9000</v>
      </c>
      <c r="E665" s="52">
        <f t="shared" si="66"/>
        <v>4500</v>
      </c>
      <c r="F665" s="5"/>
    </row>
    <row r="666" spans="1:6" ht="14.5" x14ac:dyDescent="0.35">
      <c r="A666" s="5" t="s">
        <v>89</v>
      </c>
      <c r="B666" s="52">
        <v>0</v>
      </c>
      <c r="C666" s="5" t="s">
        <v>90</v>
      </c>
      <c r="D666" s="52">
        <v>0</v>
      </c>
      <c r="E666" s="52">
        <f t="shared" si="66"/>
        <v>0</v>
      </c>
      <c r="F666" s="5"/>
    </row>
    <row r="667" spans="1:6" ht="14.5" x14ac:dyDescent="0.35">
      <c r="A667" s="5" t="s">
        <v>89</v>
      </c>
      <c r="B667" s="52">
        <v>0</v>
      </c>
      <c r="C667" s="5" t="s">
        <v>90</v>
      </c>
      <c r="D667" s="52">
        <v>0</v>
      </c>
      <c r="E667" s="52">
        <f t="shared" si="66"/>
        <v>0</v>
      </c>
      <c r="F667" s="5"/>
    </row>
    <row r="668" spans="1:6" ht="14.5" x14ac:dyDescent="0.35">
      <c r="A668" s="5" t="s">
        <v>89</v>
      </c>
      <c r="B668" s="52">
        <v>0</v>
      </c>
      <c r="C668" s="5" t="s">
        <v>90</v>
      </c>
      <c r="D668" s="52">
        <v>0</v>
      </c>
      <c r="E668" s="52">
        <f t="shared" si="66"/>
        <v>0</v>
      </c>
      <c r="F668" s="5"/>
    </row>
    <row r="669" spans="1:6" ht="14.5" x14ac:dyDescent="0.35">
      <c r="A669" s="5" t="s">
        <v>89</v>
      </c>
      <c r="B669" s="52">
        <v>0</v>
      </c>
      <c r="C669" s="5" t="s">
        <v>90</v>
      </c>
      <c r="D669" s="52">
        <v>0</v>
      </c>
      <c r="E669" s="52">
        <f t="shared" si="66"/>
        <v>0</v>
      </c>
      <c r="F669" s="5"/>
    </row>
    <row r="670" spans="1:6" ht="14.5" x14ac:dyDescent="0.35">
      <c r="A670" s="5" t="s">
        <v>89</v>
      </c>
      <c r="B670" s="52">
        <v>0</v>
      </c>
      <c r="C670" s="5" t="s">
        <v>90</v>
      </c>
      <c r="D670" s="52">
        <v>0</v>
      </c>
      <c r="E670" s="52">
        <f t="shared" si="66"/>
        <v>0</v>
      </c>
      <c r="F670" s="5"/>
    </row>
    <row r="671" spans="1:6" ht="14.5" x14ac:dyDescent="0.35">
      <c r="A671" s="5" t="s">
        <v>89</v>
      </c>
      <c r="B671" s="52">
        <v>0</v>
      </c>
      <c r="C671" s="5" t="s">
        <v>90</v>
      </c>
      <c r="D671" s="52">
        <v>0</v>
      </c>
      <c r="E671" s="52">
        <f t="shared" si="66"/>
        <v>0</v>
      </c>
      <c r="F671" s="5"/>
    </row>
    <row r="672" spans="1:6" ht="14.5" x14ac:dyDescent="0.35">
      <c r="A672" s="5"/>
      <c r="B672" s="5"/>
      <c r="C672" s="5"/>
      <c r="D672" s="5"/>
      <c r="E672" s="5"/>
      <c r="F672" s="5"/>
    </row>
    <row r="673" spans="1:6" ht="14.5" x14ac:dyDescent="0.35">
      <c r="A673" s="1" t="s">
        <v>198</v>
      </c>
      <c r="B673" s="1"/>
      <c r="C673" s="1"/>
      <c r="D673" s="1"/>
      <c r="E673" s="1"/>
      <c r="F673" s="51">
        <f>SUM(E675:E683)</f>
        <v>11800</v>
      </c>
    </row>
    <row r="674" spans="1:6" ht="14.5" x14ac:dyDescent="0.35">
      <c r="A674" s="5"/>
      <c r="B674" s="5" t="s">
        <v>2</v>
      </c>
      <c r="C674" s="5"/>
      <c r="D674" s="5" t="s">
        <v>3</v>
      </c>
      <c r="E674" s="5" t="s">
        <v>4</v>
      </c>
      <c r="F674" s="5"/>
    </row>
    <row r="675" spans="1:6" ht="14.5" x14ac:dyDescent="0.35">
      <c r="A675" s="5" t="s">
        <v>97</v>
      </c>
      <c r="B675" s="52">
        <v>0.02</v>
      </c>
      <c r="C675" s="5" t="s">
        <v>7</v>
      </c>
      <c r="D675" s="52">
        <v>140000</v>
      </c>
      <c r="E675" s="52">
        <f t="shared" ref="E675:E683" si="67">B675*D675</f>
        <v>2800</v>
      </c>
      <c r="F675" s="5"/>
    </row>
    <row r="676" spans="1:6" ht="14.5" x14ac:dyDescent="0.35">
      <c r="A676" s="5" t="s">
        <v>85</v>
      </c>
      <c r="B676" s="52">
        <v>1</v>
      </c>
      <c r="C676" s="5" t="s">
        <v>7</v>
      </c>
      <c r="D676" s="52">
        <v>4500</v>
      </c>
      <c r="E676" s="52">
        <f t="shared" si="67"/>
        <v>4500</v>
      </c>
      <c r="F676" s="5"/>
    </row>
    <row r="677" spans="1:6" ht="14.5" x14ac:dyDescent="0.35">
      <c r="A677" s="5" t="s">
        <v>87</v>
      </c>
      <c r="B677" s="52">
        <v>0.5</v>
      </c>
      <c r="C677" s="5" t="s">
        <v>7</v>
      </c>
      <c r="D677" s="52">
        <v>9000</v>
      </c>
      <c r="E677" s="52">
        <f t="shared" si="67"/>
        <v>4500</v>
      </c>
      <c r="F677" s="5"/>
    </row>
    <row r="678" spans="1:6" ht="14.5" x14ac:dyDescent="0.35">
      <c r="A678" s="5" t="s">
        <v>89</v>
      </c>
      <c r="B678" s="52">
        <v>0</v>
      </c>
      <c r="C678" s="5" t="s">
        <v>90</v>
      </c>
      <c r="D678" s="52">
        <v>0</v>
      </c>
      <c r="E678" s="52">
        <f t="shared" si="67"/>
        <v>0</v>
      </c>
      <c r="F678" s="5"/>
    </row>
    <row r="679" spans="1:6" ht="14.5" x14ac:dyDescent="0.35">
      <c r="A679" s="5" t="s">
        <v>89</v>
      </c>
      <c r="B679" s="52">
        <v>0</v>
      </c>
      <c r="C679" s="5" t="s">
        <v>90</v>
      </c>
      <c r="D679" s="52">
        <v>0</v>
      </c>
      <c r="E679" s="52">
        <f t="shared" si="67"/>
        <v>0</v>
      </c>
      <c r="F679" s="5"/>
    </row>
    <row r="680" spans="1:6" ht="14.5" x14ac:dyDescent="0.35">
      <c r="A680" s="5" t="s">
        <v>89</v>
      </c>
      <c r="B680" s="52">
        <v>0</v>
      </c>
      <c r="C680" s="5" t="s">
        <v>90</v>
      </c>
      <c r="D680" s="52">
        <v>0</v>
      </c>
      <c r="E680" s="52">
        <f t="shared" si="67"/>
        <v>0</v>
      </c>
      <c r="F680" s="5"/>
    </row>
    <row r="681" spans="1:6" ht="14.5" x14ac:dyDescent="0.35">
      <c r="A681" s="5" t="s">
        <v>89</v>
      </c>
      <c r="B681" s="52">
        <v>0</v>
      </c>
      <c r="C681" s="5" t="s">
        <v>90</v>
      </c>
      <c r="D681" s="52">
        <v>0</v>
      </c>
      <c r="E681" s="52">
        <f t="shared" si="67"/>
        <v>0</v>
      </c>
      <c r="F681" s="5"/>
    </row>
    <row r="682" spans="1:6" ht="14.5" x14ac:dyDescent="0.35">
      <c r="A682" s="5" t="s">
        <v>89</v>
      </c>
      <c r="B682" s="52">
        <v>0</v>
      </c>
      <c r="C682" s="5" t="s">
        <v>90</v>
      </c>
      <c r="D682" s="52">
        <v>0</v>
      </c>
      <c r="E682" s="52">
        <f t="shared" si="67"/>
        <v>0</v>
      </c>
      <c r="F682" s="5"/>
    </row>
    <row r="683" spans="1:6" ht="14.5" x14ac:dyDescent="0.35">
      <c r="A683" s="5" t="s">
        <v>89</v>
      </c>
      <c r="B683" s="52">
        <v>0</v>
      </c>
      <c r="C683" s="5" t="s">
        <v>90</v>
      </c>
      <c r="D683" s="52">
        <v>0</v>
      </c>
      <c r="E683" s="52">
        <f t="shared" si="67"/>
        <v>0</v>
      </c>
      <c r="F683" s="5"/>
    </row>
    <row r="684" spans="1:6" ht="14.5" x14ac:dyDescent="0.35">
      <c r="A684" s="5"/>
      <c r="B684" s="5"/>
      <c r="C684" s="5"/>
      <c r="D684" s="5"/>
      <c r="E684" s="5"/>
      <c r="F684" s="5"/>
    </row>
    <row r="685" spans="1:6" ht="14.5" x14ac:dyDescent="0.35">
      <c r="A685" s="1" t="s">
        <v>198</v>
      </c>
      <c r="B685" s="1"/>
      <c r="C685" s="1"/>
      <c r="D685" s="1"/>
      <c r="E685" s="1"/>
      <c r="F685" s="51">
        <f>SUM(E687:E695)</f>
        <v>11800</v>
      </c>
    </row>
    <row r="686" spans="1:6" ht="14.5" x14ac:dyDescent="0.35">
      <c r="A686" s="5"/>
      <c r="B686" s="5" t="s">
        <v>2</v>
      </c>
      <c r="C686" s="5"/>
      <c r="D686" s="5" t="s">
        <v>3</v>
      </c>
      <c r="E686" s="5" t="s">
        <v>4</v>
      </c>
      <c r="F686" s="5"/>
    </row>
    <row r="687" spans="1:6" ht="14.5" x14ac:dyDescent="0.35">
      <c r="A687" s="5" t="s">
        <v>97</v>
      </c>
      <c r="B687" s="52">
        <v>0.02</v>
      </c>
      <c r="C687" s="5" t="s">
        <v>7</v>
      </c>
      <c r="D687" s="52">
        <v>140000</v>
      </c>
      <c r="E687" s="52">
        <f t="shared" ref="E687:E695" si="68">B687*D687</f>
        <v>2800</v>
      </c>
      <c r="F687" s="5"/>
    </row>
    <row r="688" spans="1:6" ht="14.5" x14ac:dyDescent="0.35">
      <c r="A688" s="5" t="s">
        <v>85</v>
      </c>
      <c r="B688" s="52">
        <v>1</v>
      </c>
      <c r="C688" s="5" t="s">
        <v>7</v>
      </c>
      <c r="D688" s="52">
        <v>4500</v>
      </c>
      <c r="E688" s="52">
        <f t="shared" si="68"/>
        <v>4500</v>
      </c>
      <c r="F688" s="5"/>
    </row>
    <row r="689" spans="1:6" ht="14.5" x14ac:dyDescent="0.35">
      <c r="A689" s="5" t="s">
        <v>87</v>
      </c>
      <c r="B689" s="52">
        <v>0.5</v>
      </c>
      <c r="C689" s="5" t="s">
        <v>7</v>
      </c>
      <c r="D689" s="52">
        <v>9000</v>
      </c>
      <c r="E689" s="52">
        <f t="shared" si="68"/>
        <v>4500</v>
      </c>
      <c r="F689" s="5"/>
    </row>
    <row r="690" spans="1:6" ht="14.5" x14ac:dyDescent="0.35">
      <c r="A690" s="5" t="s">
        <v>89</v>
      </c>
      <c r="B690" s="52">
        <v>0</v>
      </c>
      <c r="C690" s="5" t="s">
        <v>90</v>
      </c>
      <c r="D690" s="52">
        <v>0</v>
      </c>
      <c r="E690" s="52">
        <f t="shared" si="68"/>
        <v>0</v>
      </c>
      <c r="F690" s="5"/>
    </row>
    <row r="691" spans="1:6" ht="14.5" x14ac:dyDescent="0.35">
      <c r="A691" s="5" t="s">
        <v>89</v>
      </c>
      <c r="B691" s="52">
        <v>0</v>
      </c>
      <c r="C691" s="5" t="s">
        <v>90</v>
      </c>
      <c r="D691" s="52">
        <v>0</v>
      </c>
      <c r="E691" s="52">
        <f t="shared" si="68"/>
        <v>0</v>
      </c>
      <c r="F691" s="5"/>
    </row>
    <row r="692" spans="1:6" ht="14.5" x14ac:dyDescent="0.35">
      <c r="A692" s="5" t="s">
        <v>89</v>
      </c>
      <c r="B692" s="52">
        <v>0</v>
      </c>
      <c r="C692" s="5" t="s">
        <v>90</v>
      </c>
      <c r="D692" s="52">
        <v>0</v>
      </c>
      <c r="E692" s="52">
        <f t="shared" si="68"/>
        <v>0</v>
      </c>
      <c r="F692" s="5"/>
    </row>
    <row r="693" spans="1:6" ht="14.5" x14ac:dyDescent="0.35">
      <c r="A693" s="5" t="s">
        <v>89</v>
      </c>
      <c r="B693" s="52">
        <v>0</v>
      </c>
      <c r="C693" s="5" t="s">
        <v>90</v>
      </c>
      <c r="D693" s="52">
        <v>0</v>
      </c>
      <c r="E693" s="52">
        <f t="shared" si="68"/>
        <v>0</v>
      </c>
      <c r="F693" s="5"/>
    </row>
    <row r="694" spans="1:6" ht="14.5" x14ac:dyDescent="0.35">
      <c r="A694" s="5" t="s">
        <v>89</v>
      </c>
      <c r="B694" s="52">
        <v>0</v>
      </c>
      <c r="C694" s="5" t="s">
        <v>90</v>
      </c>
      <c r="D694" s="52">
        <v>0</v>
      </c>
      <c r="E694" s="52">
        <f t="shared" si="68"/>
        <v>0</v>
      </c>
      <c r="F694" s="5"/>
    </row>
    <row r="695" spans="1:6" ht="14.5" x14ac:dyDescent="0.35">
      <c r="A695" s="5" t="s">
        <v>89</v>
      </c>
      <c r="B695" s="52">
        <v>0</v>
      </c>
      <c r="C695" s="5" t="s">
        <v>90</v>
      </c>
      <c r="D695" s="52">
        <v>0</v>
      </c>
      <c r="E695" s="52">
        <f t="shared" si="68"/>
        <v>0</v>
      </c>
      <c r="F695" s="5"/>
    </row>
    <row r="696" spans="1:6" ht="14.5" x14ac:dyDescent="0.35">
      <c r="A696" s="5"/>
      <c r="B696" s="5"/>
      <c r="C696" s="5"/>
      <c r="D696" s="5"/>
      <c r="E696" s="5"/>
      <c r="F696" s="5"/>
    </row>
    <row r="697" spans="1:6" ht="14.5" x14ac:dyDescent="0.35">
      <c r="A697" s="1" t="s">
        <v>198</v>
      </c>
      <c r="B697" s="1"/>
      <c r="C697" s="1"/>
      <c r="D697" s="1"/>
      <c r="E697" s="1"/>
      <c r="F697" s="51">
        <f>SUM(E699:E707)</f>
        <v>11800</v>
      </c>
    </row>
    <row r="698" spans="1:6" ht="14.5" x14ac:dyDescent="0.35">
      <c r="A698" s="5"/>
      <c r="B698" s="5" t="s">
        <v>2</v>
      </c>
      <c r="C698" s="5"/>
      <c r="D698" s="5" t="s">
        <v>3</v>
      </c>
      <c r="E698" s="5" t="s">
        <v>4</v>
      </c>
      <c r="F698" s="5"/>
    </row>
    <row r="699" spans="1:6" ht="14.5" x14ac:dyDescent="0.35">
      <c r="A699" s="5" t="s">
        <v>97</v>
      </c>
      <c r="B699" s="52">
        <v>0.02</v>
      </c>
      <c r="C699" s="5" t="s">
        <v>7</v>
      </c>
      <c r="D699" s="52">
        <v>140000</v>
      </c>
      <c r="E699" s="52">
        <f t="shared" ref="E699:E707" si="69">B699*D699</f>
        <v>2800</v>
      </c>
      <c r="F699" s="5"/>
    </row>
    <row r="700" spans="1:6" ht="14.5" x14ac:dyDescent="0.35">
      <c r="A700" s="5" t="s">
        <v>85</v>
      </c>
      <c r="B700" s="52">
        <v>1</v>
      </c>
      <c r="C700" s="5" t="s">
        <v>7</v>
      </c>
      <c r="D700" s="52">
        <v>4500</v>
      </c>
      <c r="E700" s="52">
        <f t="shared" si="69"/>
        <v>4500</v>
      </c>
      <c r="F700" s="5"/>
    </row>
    <row r="701" spans="1:6" ht="14.5" x14ac:dyDescent="0.35">
      <c r="A701" s="5" t="s">
        <v>87</v>
      </c>
      <c r="B701" s="52">
        <v>0.5</v>
      </c>
      <c r="C701" s="5" t="s">
        <v>7</v>
      </c>
      <c r="D701" s="52">
        <v>9000</v>
      </c>
      <c r="E701" s="52">
        <f t="shared" si="69"/>
        <v>4500</v>
      </c>
      <c r="F701" s="5"/>
    </row>
    <row r="702" spans="1:6" ht="14.5" x14ac:dyDescent="0.35">
      <c r="A702" s="5" t="s">
        <v>89</v>
      </c>
      <c r="B702" s="52">
        <v>0</v>
      </c>
      <c r="C702" s="5" t="s">
        <v>90</v>
      </c>
      <c r="D702" s="52">
        <v>0</v>
      </c>
      <c r="E702" s="52">
        <f t="shared" si="69"/>
        <v>0</v>
      </c>
      <c r="F702" s="5"/>
    </row>
    <row r="703" spans="1:6" ht="14.5" x14ac:dyDescent="0.35">
      <c r="A703" s="5" t="s">
        <v>89</v>
      </c>
      <c r="B703" s="52">
        <v>0</v>
      </c>
      <c r="C703" s="5" t="s">
        <v>90</v>
      </c>
      <c r="D703" s="52">
        <v>0</v>
      </c>
      <c r="E703" s="52">
        <f t="shared" si="69"/>
        <v>0</v>
      </c>
      <c r="F703" s="5"/>
    </row>
    <row r="704" spans="1:6" ht="14.5" x14ac:dyDescent="0.35">
      <c r="A704" s="5" t="s">
        <v>89</v>
      </c>
      <c r="B704" s="52">
        <v>0</v>
      </c>
      <c r="C704" s="5" t="s">
        <v>90</v>
      </c>
      <c r="D704" s="52">
        <v>0</v>
      </c>
      <c r="E704" s="52">
        <f t="shared" si="69"/>
        <v>0</v>
      </c>
      <c r="F704" s="5"/>
    </row>
    <row r="705" spans="1:6" ht="14.5" x14ac:dyDescent="0.35">
      <c r="A705" s="5" t="s">
        <v>89</v>
      </c>
      <c r="B705" s="52">
        <v>0</v>
      </c>
      <c r="C705" s="5" t="s">
        <v>90</v>
      </c>
      <c r="D705" s="52">
        <v>0</v>
      </c>
      <c r="E705" s="52">
        <f t="shared" si="69"/>
        <v>0</v>
      </c>
      <c r="F705" s="5"/>
    </row>
    <row r="706" spans="1:6" ht="14.5" x14ac:dyDescent="0.35">
      <c r="A706" s="5" t="s">
        <v>89</v>
      </c>
      <c r="B706" s="52">
        <v>0</v>
      </c>
      <c r="C706" s="5" t="s">
        <v>90</v>
      </c>
      <c r="D706" s="52">
        <v>0</v>
      </c>
      <c r="E706" s="52">
        <f t="shared" si="69"/>
        <v>0</v>
      </c>
      <c r="F706" s="5"/>
    </row>
    <row r="707" spans="1:6" ht="14.5" x14ac:dyDescent="0.35">
      <c r="A707" s="5" t="s">
        <v>89</v>
      </c>
      <c r="B707" s="52">
        <v>0</v>
      </c>
      <c r="C707" s="5" t="s">
        <v>90</v>
      </c>
      <c r="D707" s="52">
        <v>0</v>
      </c>
      <c r="E707" s="52">
        <f t="shared" si="69"/>
        <v>0</v>
      </c>
      <c r="F707" s="5"/>
    </row>
    <row r="708" spans="1:6" ht="14.5" x14ac:dyDescent="0.35">
      <c r="A708" s="5"/>
      <c r="B708" s="5"/>
      <c r="C708" s="5"/>
      <c r="D708" s="5"/>
      <c r="E708" s="5"/>
      <c r="F708" s="5"/>
    </row>
    <row r="709" spans="1:6" ht="14.5" x14ac:dyDescent="0.35">
      <c r="A709" s="1" t="s">
        <v>198</v>
      </c>
      <c r="B709" s="1"/>
      <c r="C709" s="1"/>
      <c r="D709" s="1"/>
      <c r="E709" s="1"/>
      <c r="F709" s="51">
        <f>SUM(E711:E719)</f>
        <v>11800</v>
      </c>
    </row>
    <row r="710" spans="1:6" ht="14.5" x14ac:dyDescent="0.35">
      <c r="A710" s="5"/>
      <c r="B710" s="5" t="s">
        <v>2</v>
      </c>
      <c r="C710" s="5"/>
      <c r="D710" s="5" t="s">
        <v>3</v>
      </c>
      <c r="E710" s="5" t="s">
        <v>4</v>
      </c>
      <c r="F710" s="5"/>
    </row>
    <row r="711" spans="1:6" ht="14.5" x14ac:dyDescent="0.35">
      <c r="A711" s="5" t="s">
        <v>97</v>
      </c>
      <c r="B711" s="52">
        <v>0.02</v>
      </c>
      <c r="C711" s="5" t="s">
        <v>7</v>
      </c>
      <c r="D711" s="52">
        <v>140000</v>
      </c>
      <c r="E711" s="52">
        <f t="shared" ref="E711:E719" si="70">B711*D711</f>
        <v>2800</v>
      </c>
      <c r="F711" s="5"/>
    </row>
    <row r="712" spans="1:6" ht="14.5" x14ac:dyDescent="0.35">
      <c r="A712" s="5" t="s">
        <v>85</v>
      </c>
      <c r="B712" s="52">
        <v>1</v>
      </c>
      <c r="C712" s="5" t="s">
        <v>7</v>
      </c>
      <c r="D712" s="52">
        <v>4500</v>
      </c>
      <c r="E712" s="52">
        <f t="shared" si="70"/>
        <v>4500</v>
      </c>
      <c r="F712" s="5"/>
    </row>
    <row r="713" spans="1:6" ht="14.5" x14ac:dyDescent="0.35">
      <c r="A713" s="5" t="s">
        <v>87</v>
      </c>
      <c r="B713" s="52">
        <v>0.5</v>
      </c>
      <c r="C713" s="5" t="s">
        <v>7</v>
      </c>
      <c r="D713" s="52">
        <v>9000</v>
      </c>
      <c r="E713" s="52">
        <f t="shared" si="70"/>
        <v>4500</v>
      </c>
      <c r="F713" s="5"/>
    </row>
    <row r="714" spans="1:6" ht="14.5" x14ac:dyDescent="0.35">
      <c r="A714" s="5" t="s">
        <v>89</v>
      </c>
      <c r="B714" s="52">
        <v>0</v>
      </c>
      <c r="C714" s="5" t="s">
        <v>90</v>
      </c>
      <c r="D714" s="52">
        <v>0</v>
      </c>
      <c r="E714" s="52">
        <f t="shared" si="70"/>
        <v>0</v>
      </c>
      <c r="F714" s="5"/>
    </row>
    <row r="715" spans="1:6" ht="14.5" x14ac:dyDescent="0.35">
      <c r="A715" s="5" t="s">
        <v>89</v>
      </c>
      <c r="B715" s="52">
        <v>0</v>
      </c>
      <c r="C715" s="5" t="s">
        <v>90</v>
      </c>
      <c r="D715" s="52">
        <v>0</v>
      </c>
      <c r="E715" s="52">
        <f t="shared" si="70"/>
        <v>0</v>
      </c>
      <c r="F715" s="5"/>
    </row>
    <row r="716" spans="1:6" ht="14.5" x14ac:dyDescent="0.35">
      <c r="A716" s="5" t="s">
        <v>89</v>
      </c>
      <c r="B716" s="52">
        <v>0</v>
      </c>
      <c r="C716" s="5" t="s">
        <v>90</v>
      </c>
      <c r="D716" s="52">
        <v>0</v>
      </c>
      <c r="E716" s="52">
        <f t="shared" si="70"/>
        <v>0</v>
      </c>
      <c r="F716" s="5"/>
    </row>
    <row r="717" spans="1:6" ht="14.5" x14ac:dyDescent="0.35">
      <c r="A717" s="5" t="s">
        <v>89</v>
      </c>
      <c r="B717" s="52">
        <v>0</v>
      </c>
      <c r="C717" s="5" t="s">
        <v>90</v>
      </c>
      <c r="D717" s="52">
        <v>0</v>
      </c>
      <c r="E717" s="52">
        <f t="shared" si="70"/>
        <v>0</v>
      </c>
      <c r="F717" s="5"/>
    </row>
    <row r="718" spans="1:6" ht="14.5" x14ac:dyDescent="0.35">
      <c r="A718" s="5" t="s">
        <v>89</v>
      </c>
      <c r="B718" s="52">
        <v>0</v>
      </c>
      <c r="C718" s="5" t="s">
        <v>90</v>
      </c>
      <c r="D718" s="52">
        <v>0</v>
      </c>
      <c r="E718" s="52">
        <f t="shared" si="70"/>
        <v>0</v>
      </c>
      <c r="F718" s="5"/>
    </row>
    <row r="719" spans="1:6" ht="14.5" x14ac:dyDescent="0.35">
      <c r="A719" s="5" t="s">
        <v>89</v>
      </c>
      <c r="B719" s="52">
        <v>0</v>
      </c>
      <c r="C719" s="5" t="s">
        <v>90</v>
      </c>
      <c r="D719" s="52">
        <v>0</v>
      </c>
      <c r="E719" s="52">
        <f t="shared" si="70"/>
        <v>0</v>
      </c>
      <c r="F719" s="5"/>
    </row>
  </sheetData>
  <mergeCells count="3">
    <mergeCell ref="A1:B1"/>
    <mergeCell ref="A97:B97"/>
    <mergeCell ref="A85:B8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347"/>
  <sheetViews>
    <sheetView workbookViewId="0">
      <selection activeCell="D16" sqref="D16"/>
    </sheetView>
  </sheetViews>
  <sheetFormatPr defaultColWidth="14.453125" defaultRowHeight="15.75" customHeight="1" x14ac:dyDescent="0.25"/>
  <cols>
    <col min="1" max="1" width="34.26953125" customWidth="1"/>
    <col min="2" max="3" width="6.7265625" customWidth="1"/>
    <col min="4" max="4" width="13.26953125" bestFit="1" customWidth="1"/>
    <col min="5" max="6" width="11.81640625" customWidth="1"/>
  </cols>
  <sheetData>
    <row r="1" spans="1:7" ht="14.5" x14ac:dyDescent="0.35">
      <c r="A1" s="1" t="s">
        <v>116</v>
      </c>
      <c r="B1" s="1"/>
      <c r="C1" s="1"/>
      <c r="D1" s="1"/>
      <c r="E1" s="1"/>
      <c r="F1" s="51">
        <f>SUM(E3:E11)</f>
        <v>3678.0729166666665</v>
      </c>
    </row>
    <row r="2" spans="1:7" ht="14.5" x14ac:dyDescent="0.35">
      <c r="A2" s="5"/>
      <c r="B2" s="5" t="s">
        <v>2</v>
      </c>
      <c r="C2" s="5"/>
      <c r="D2" s="5" t="s">
        <v>3</v>
      </c>
      <c r="E2" s="5" t="s">
        <v>4</v>
      </c>
      <c r="F2" s="5"/>
    </row>
    <row r="3" spans="1:7" ht="14.5" x14ac:dyDescent="0.35">
      <c r="A3" s="5" t="s">
        <v>117</v>
      </c>
      <c r="B3" s="52">
        <v>2.5000000000000001E-3</v>
      </c>
      <c r="C3" s="5" t="s">
        <v>7</v>
      </c>
      <c r="D3" s="113">
        <v>1200000</v>
      </c>
      <c r="E3" s="52">
        <f t="shared" ref="E3:E11" si="0">D3*B3</f>
        <v>3000</v>
      </c>
      <c r="F3" s="5"/>
    </row>
    <row r="4" spans="1:7" ht="14.5" x14ac:dyDescent="0.35">
      <c r="A4" s="5" t="s">
        <v>118</v>
      </c>
      <c r="B4" s="52">
        <v>1</v>
      </c>
      <c r="C4" s="5" t="s">
        <v>7</v>
      </c>
      <c r="D4" s="52">
        <v>100</v>
      </c>
      <c r="E4" s="52">
        <f t="shared" si="0"/>
        <v>100</v>
      </c>
      <c r="F4" s="5"/>
    </row>
    <row r="5" spans="1:7" ht="14.5" x14ac:dyDescent="0.35">
      <c r="A5" s="5" t="s">
        <v>89</v>
      </c>
      <c r="B5" s="52">
        <v>0.02</v>
      </c>
      <c r="C5" s="5" t="s">
        <v>119</v>
      </c>
      <c r="D5" s="10">
        <f>'PH Umum 2024'!F37</f>
        <v>28903.645833333332</v>
      </c>
      <c r="E5" s="52">
        <f t="shared" si="0"/>
        <v>578.07291666666663</v>
      </c>
      <c r="F5" s="5"/>
    </row>
    <row r="6" spans="1:7" ht="14.5" x14ac:dyDescent="0.35">
      <c r="A6" s="5"/>
      <c r="B6" s="5"/>
      <c r="C6" s="5"/>
      <c r="D6" s="5"/>
      <c r="E6" s="52">
        <f t="shared" si="0"/>
        <v>0</v>
      </c>
      <c r="F6" s="5"/>
    </row>
    <row r="7" spans="1:7" ht="14.5" x14ac:dyDescent="0.35">
      <c r="A7" s="5"/>
      <c r="B7" s="5"/>
      <c r="C7" s="5"/>
      <c r="D7" s="5"/>
      <c r="E7" s="52">
        <f t="shared" si="0"/>
        <v>0</v>
      </c>
      <c r="F7" s="5"/>
    </row>
    <row r="8" spans="1:7" ht="14.5" x14ac:dyDescent="0.35">
      <c r="A8" s="5"/>
      <c r="B8" s="5"/>
      <c r="C8" s="5"/>
      <c r="D8" s="5"/>
      <c r="E8" s="52">
        <f t="shared" si="0"/>
        <v>0</v>
      </c>
      <c r="F8" s="5"/>
    </row>
    <row r="9" spans="1:7" ht="14.5" x14ac:dyDescent="0.35">
      <c r="A9" s="5"/>
      <c r="B9" s="5"/>
      <c r="C9" s="5"/>
      <c r="D9" s="5"/>
      <c r="E9" s="52">
        <f t="shared" si="0"/>
        <v>0</v>
      </c>
      <c r="F9" s="5"/>
    </row>
    <row r="10" spans="1:7" ht="14.5" x14ac:dyDescent="0.35">
      <c r="A10" s="5"/>
      <c r="B10" s="5"/>
      <c r="C10" s="5"/>
      <c r="D10" s="5"/>
      <c r="E10" s="52">
        <f t="shared" si="0"/>
        <v>0</v>
      </c>
      <c r="F10" s="5"/>
    </row>
    <row r="11" spans="1:7" ht="14.5" x14ac:dyDescent="0.35">
      <c r="A11" s="5"/>
      <c r="B11" s="5"/>
      <c r="C11" s="5"/>
      <c r="D11" s="5"/>
      <c r="E11" s="52">
        <f t="shared" si="0"/>
        <v>0</v>
      </c>
      <c r="F11" s="5"/>
    </row>
    <row r="12" spans="1:7" ht="14.5" x14ac:dyDescent="0.35">
      <c r="A12" s="5"/>
      <c r="B12" s="5"/>
      <c r="C12" s="5"/>
      <c r="D12" s="5"/>
      <c r="E12" s="5"/>
      <c r="F12" s="5"/>
    </row>
    <row r="13" spans="1:7" ht="14.5" x14ac:dyDescent="0.35">
      <c r="A13" s="1" t="s">
        <v>120</v>
      </c>
      <c r="B13" s="1"/>
      <c r="C13" s="1"/>
      <c r="D13" s="1"/>
      <c r="E13" s="1"/>
      <c r="F13" s="51">
        <f>SUM(E15:E23)</f>
        <v>5028.072916666667</v>
      </c>
    </row>
    <row r="14" spans="1:7" ht="14.5" x14ac:dyDescent="0.35">
      <c r="A14" s="5"/>
      <c r="B14" s="5" t="s">
        <v>2</v>
      </c>
      <c r="C14" s="5"/>
      <c r="D14" s="5" t="s">
        <v>3</v>
      </c>
      <c r="E14" s="5" t="s">
        <v>4</v>
      </c>
      <c r="F14" s="5"/>
    </row>
    <row r="15" spans="1:7" ht="14.5" x14ac:dyDescent="0.35">
      <c r="A15" s="5" t="s">
        <v>121</v>
      </c>
      <c r="B15" s="52">
        <v>0.01</v>
      </c>
      <c r="C15" s="5" t="s">
        <v>7</v>
      </c>
      <c r="D15" s="113">
        <v>435000</v>
      </c>
      <c r="E15" s="52">
        <f t="shared" ref="E15:E23" si="1">D15*B15</f>
        <v>4350</v>
      </c>
      <c r="F15" s="5"/>
      <c r="G15" s="12"/>
    </row>
    <row r="16" spans="1:7" ht="14.5" x14ac:dyDescent="0.35">
      <c r="A16" s="5" t="s">
        <v>118</v>
      </c>
      <c r="B16" s="52">
        <v>1</v>
      </c>
      <c r="C16" s="5" t="s">
        <v>7</v>
      </c>
      <c r="D16" s="52">
        <v>100</v>
      </c>
      <c r="E16" s="52">
        <f t="shared" si="1"/>
        <v>100</v>
      </c>
      <c r="F16" s="5"/>
    </row>
    <row r="17" spans="1:6" ht="15.75" customHeight="1" x14ac:dyDescent="0.55000000000000004">
      <c r="A17" s="5" t="s">
        <v>89</v>
      </c>
      <c r="B17" s="52">
        <v>0.02</v>
      </c>
      <c r="C17" s="5" t="s">
        <v>119</v>
      </c>
      <c r="D17" s="104">
        <f>'PH Umum 2024'!F37</f>
        <v>28903.645833333332</v>
      </c>
      <c r="E17" s="52">
        <f t="shared" si="1"/>
        <v>578.07291666666663</v>
      </c>
      <c r="F17" s="5"/>
    </row>
    <row r="18" spans="1:6" ht="14.5" x14ac:dyDescent="0.35">
      <c r="A18" s="5"/>
      <c r="B18" s="5"/>
      <c r="C18" s="5"/>
      <c r="D18" s="5"/>
      <c r="E18" s="52">
        <f t="shared" si="1"/>
        <v>0</v>
      </c>
      <c r="F18" s="5"/>
    </row>
    <row r="19" spans="1:6" ht="14.5" x14ac:dyDescent="0.35">
      <c r="A19" s="5"/>
      <c r="B19" s="5"/>
      <c r="C19" s="5"/>
      <c r="D19" s="5"/>
      <c r="E19" s="52">
        <f t="shared" si="1"/>
        <v>0</v>
      </c>
      <c r="F19" s="5"/>
    </row>
    <row r="20" spans="1:6" ht="14.5" x14ac:dyDescent="0.35">
      <c r="A20" s="5"/>
      <c r="B20" s="5"/>
      <c r="C20" s="5"/>
      <c r="D20" s="5"/>
      <c r="E20" s="52">
        <f t="shared" si="1"/>
        <v>0</v>
      </c>
      <c r="F20" s="5"/>
    </row>
    <row r="21" spans="1:6" ht="14.5" x14ac:dyDescent="0.35">
      <c r="A21" s="5"/>
      <c r="B21" s="5"/>
      <c r="C21" s="5"/>
      <c r="D21" s="5"/>
      <c r="E21" s="52">
        <f t="shared" si="1"/>
        <v>0</v>
      </c>
      <c r="F21" s="5"/>
    </row>
    <row r="22" spans="1:6" ht="14.5" x14ac:dyDescent="0.35">
      <c r="A22" s="5"/>
      <c r="B22" s="5"/>
      <c r="C22" s="5"/>
      <c r="D22" s="5"/>
      <c r="E22" s="52">
        <f t="shared" si="1"/>
        <v>0</v>
      </c>
      <c r="F22" s="5"/>
    </row>
    <row r="23" spans="1:6" ht="14.5" x14ac:dyDescent="0.35">
      <c r="A23" s="5"/>
      <c r="B23" s="5"/>
      <c r="C23" s="5"/>
      <c r="D23" s="5"/>
      <c r="E23" s="52">
        <f t="shared" si="1"/>
        <v>0</v>
      </c>
      <c r="F23" s="5"/>
    </row>
    <row r="24" spans="1:6" ht="14.5" x14ac:dyDescent="0.35">
      <c r="A24" s="5"/>
      <c r="B24" s="5"/>
      <c r="C24" s="5"/>
      <c r="D24" s="5"/>
      <c r="E24" s="5"/>
      <c r="F24" s="5"/>
    </row>
    <row r="25" spans="1:6" ht="14.5" x14ac:dyDescent="0.35">
      <c r="A25" s="58" t="s">
        <v>201</v>
      </c>
      <c r="B25" s="1"/>
      <c r="C25" s="1"/>
      <c r="D25" s="1"/>
      <c r="E25" s="1"/>
      <c r="F25" s="51">
        <f>SUM(E27:E35)</f>
        <v>1735134.548611111</v>
      </c>
    </row>
    <row r="26" spans="1:6" ht="14.5" x14ac:dyDescent="0.35">
      <c r="A26" s="5"/>
      <c r="B26" s="5" t="s">
        <v>2</v>
      </c>
      <c r="C26" s="5"/>
      <c r="D26" s="5" t="s">
        <v>3</v>
      </c>
      <c r="E26" s="5" t="s">
        <v>4</v>
      </c>
      <c r="F26" s="5"/>
    </row>
    <row r="27" spans="1:6" ht="14.5" x14ac:dyDescent="0.35">
      <c r="A27" s="5" t="s">
        <v>202</v>
      </c>
      <c r="B27" s="5">
        <v>3</v>
      </c>
      <c r="C27" s="5" t="s">
        <v>174</v>
      </c>
      <c r="D27" s="5">
        <v>520000</v>
      </c>
      <c r="E27" s="52">
        <f t="shared" ref="E27:E35" si="2">D27*B27</f>
        <v>1560000</v>
      </c>
      <c r="F27" s="5"/>
    </row>
    <row r="28" spans="1:6" ht="14.5" x14ac:dyDescent="0.35">
      <c r="A28" s="5" t="s">
        <v>203</v>
      </c>
      <c r="B28" s="5">
        <v>1</v>
      </c>
      <c r="C28" s="5" t="s">
        <v>174</v>
      </c>
      <c r="D28" s="5">
        <v>70000</v>
      </c>
      <c r="E28" s="52">
        <f t="shared" si="2"/>
        <v>70000</v>
      </c>
      <c r="F28" s="5"/>
    </row>
    <row r="29" spans="1:6" ht="14.5" x14ac:dyDescent="0.35">
      <c r="A29" s="5" t="s">
        <v>204</v>
      </c>
      <c r="B29" s="5">
        <v>1</v>
      </c>
      <c r="C29" s="5" t="s">
        <v>174</v>
      </c>
      <c r="D29" s="5">
        <v>90000</v>
      </c>
      <c r="E29" s="52">
        <f t="shared" si="2"/>
        <v>90000</v>
      </c>
      <c r="F29" s="5"/>
    </row>
    <row r="30" spans="1:6" ht="14.5" x14ac:dyDescent="0.35">
      <c r="A30" s="5" t="s">
        <v>205</v>
      </c>
      <c r="B30" s="5">
        <v>0.1</v>
      </c>
      <c r="C30" s="5" t="s">
        <v>206</v>
      </c>
      <c r="D30" s="5">
        <v>55000</v>
      </c>
      <c r="E30" s="52">
        <f t="shared" si="2"/>
        <v>5500</v>
      </c>
      <c r="F30" s="5"/>
    </row>
    <row r="31" spans="1:6" ht="15.75" customHeight="1" x14ac:dyDescent="0.55000000000000004">
      <c r="A31" s="5" t="s">
        <v>89</v>
      </c>
      <c r="B31" s="52">
        <f>20/60</f>
        <v>0.33333333333333331</v>
      </c>
      <c r="C31" s="5" t="s">
        <v>119</v>
      </c>
      <c r="D31" s="54">
        <f>'PH Umum 2024'!F37</f>
        <v>28903.645833333332</v>
      </c>
      <c r="E31" s="52">
        <f t="shared" si="2"/>
        <v>9634.5486111111095</v>
      </c>
      <c r="F31" s="5"/>
    </row>
    <row r="32" spans="1:6" ht="14.5" x14ac:dyDescent="0.35">
      <c r="A32" s="5"/>
      <c r="B32" s="5"/>
      <c r="C32" s="5" t="s">
        <v>90</v>
      </c>
      <c r="D32" s="5"/>
      <c r="E32" s="52">
        <f t="shared" si="2"/>
        <v>0</v>
      </c>
      <c r="F32" s="5"/>
    </row>
    <row r="33" spans="1:6" ht="14.5" x14ac:dyDescent="0.35">
      <c r="A33" s="5"/>
      <c r="B33" s="5"/>
      <c r="C33" s="5" t="s">
        <v>90</v>
      </c>
      <c r="D33" s="5"/>
      <c r="E33" s="52">
        <f t="shared" si="2"/>
        <v>0</v>
      </c>
      <c r="F33" s="5"/>
    </row>
    <row r="34" spans="1:6" ht="14.5" x14ac:dyDescent="0.35">
      <c r="A34" s="5"/>
      <c r="B34" s="5"/>
      <c r="C34" s="5" t="s">
        <v>90</v>
      </c>
      <c r="D34" s="5"/>
      <c r="E34" s="52">
        <f t="shared" si="2"/>
        <v>0</v>
      </c>
      <c r="F34" s="5"/>
    </row>
    <row r="35" spans="1:6" ht="14.5" x14ac:dyDescent="0.35">
      <c r="A35" s="5"/>
      <c r="B35" s="5"/>
      <c r="C35" s="5" t="s">
        <v>90</v>
      </c>
      <c r="D35" s="5"/>
      <c r="E35" s="52">
        <f t="shared" si="2"/>
        <v>0</v>
      </c>
      <c r="F35" s="5"/>
    </row>
    <row r="36" spans="1:6" ht="14.5" x14ac:dyDescent="0.35">
      <c r="A36" s="5"/>
      <c r="B36" s="5"/>
      <c r="C36" s="5"/>
      <c r="D36" s="5"/>
      <c r="E36" s="5"/>
      <c r="F36" s="5"/>
    </row>
    <row r="37" spans="1:6" ht="14.5" x14ac:dyDescent="0.35">
      <c r="A37" s="58" t="s">
        <v>207</v>
      </c>
      <c r="B37" s="1"/>
      <c r="C37" s="1"/>
      <c r="D37" s="1"/>
      <c r="E37" s="1"/>
      <c r="F37" s="51">
        <f>SUM(E39:E47)</f>
        <v>1769451.8229166667</v>
      </c>
    </row>
    <row r="38" spans="1:6" ht="14.5" x14ac:dyDescent="0.35">
      <c r="A38" s="5"/>
      <c r="B38" s="5" t="s">
        <v>2</v>
      </c>
      <c r="C38" s="5"/>
      <c r="D38" s="5" t="s">
        <v>3</v>
      </c>
      <c r="E38" s="5" t="s">
        <v>4</v>
      </c>
      <c r="F38" s="5"/>
    </row>
    <row r="39" spans="1:6" ht="14.5" x14ac:dyDescent="0.35">
      <c r="A39" s="5" t="s">
        <v>208</v>
      </c>
      <c r="B39" s="5">
        <v>3</v>
      </c>
      <c r="C39" s="5" t="s">
        <v>174</v>
      </c>
      <c r="D39" s="5">
        <v>520000</v>
      </c>
      <c r="E39" s="52">
        <f t="shared" ref="E39:E47" si="3">D39*B39</f>
        <v>1560000</v>
      </c>
      <c r="F39" s="5"/>
    </row>
    <row r="40" spans="1:6" ht="14.5" x14ac:dyDescent="0.35">
      <c r="A40" s="5" t="s">
        <v>209</v>
      </c>
      <c r="B40" s="5">
        <v>1</v>
      </c>
      <c r="C40" s="5" t="s">
        <v>174</v>
      </c>
      <c r="D40" s="5">
        <v>40000</v>
      </c>
      <c r="E40" s="52">
        <f t="shared" si="3"/>
        <v>40000</v>
      </c>
      <c r="F40" s="5"/>
    </row>
    <row r="41" spans="1:6" ht="14.5" x14ac:dyDescent="0.35">
      <c r="A41" s="5" t="s">
        <v>210</v>
      </c>
      <c r="B41" s="5">
        <v>1</v>
      </c>
      <c r="C41" s="5" t="s">
        <v>174</v>
      </c>
      <c r="D41" s="5">
        <v>155000</v>
      </c>
      <c r="E41" s="52">
        <f t="shared" si="3"/>
        <v>155000</v>
      </c>
      <c r="F41" s="5"/>
    </row>
    <row r="42" spans="1:6" ht="15.75" customHeight="1" x14ac:dyDescent="0.55000000000000004">
      <c r="A42" s="5" t="s">
        <v>89</v>
      </c>
      <c r="B42" s="52">
        <f>30/60</f>
        <v>0.5</v>
      </c>
      <c r="C42" s="5" t="s">
        <v>119</v>
      </c>
      <c r="D42" s="54">
        <f>'PH Umum 2024'!F37</f>
        <v>28903.645833333332</v>
      </c>
      <c r="E42" s="52">
        <f t="shared" si="3"/>
        <v>14451.822916666666</v>
      </c>
      <c r="F42" s="5"/>
    </row>
    <row r="43" spans="1:6" ht="14.5" x14ac:dyDescent="0.35">
      <c r="A43" s="5"/>
      <c r="B43" s="5"/>
      <c r="C43" s="5" t="s">
        <v>90</v>
      </c>
      <c r="D43" s="5"/>
      <c r="E43" s="52">
        <f t="shared" si="3"/>
        <v>0</v>
      </c>
      <c r="F43" s="5"/>
    </row>
    <row r="44" spans="1:6" ht="14.5" x14ac:dyDescent="0.35">
      <c r="A44" s="5"/>
      <c r="B44" s="5"/>
      <c r="C44" s="5" t="s">
        <v>90</v>
      </c>
      <c r="D44" s="5"/>
      <c r="E44" s="52">
        <f t="shared" si="3"/>
        <v>0</v>
      </c>
      <c r="F44" s="5"/>
    </row>
    <row r="45" spans="1:6" ht="14.5" x14ac:dyDescent="0.35">
      <c r="A45" s="5"/>
      <c r="B45" s="5"/>
      <c r="C45" s="5" t="s">
        <v>90</v>
      </c>
      <c r="D45" s="5"/>
      <c r="E45" s="52">
        <f t="shared" si="3"/>
        <v>0</v>
      </c>
      <c r="F45" s="5"/>
    </row>
    <row r="46" spans="1:6" ht="14.5" x14ac:dyDescent="0.35">
      <c r="A46" s="5"/>
      <c r="B46" s="5"/>
      <c r="C46" s="5" t="s">
        <v>90</v>
      </c>
      <c r="D46" s="5"/>
      <c r="E46" s="52">
        <f t="shared" si="3"/>
        <v>0</v>
      </c>
      <c r="F46" s="5"/>
    </row>
    <row r="47" spans="1:6" ht="14.5" x14ac:dyDescent="0.35">
      <c r="A47" s="5"/>
      <c r="B47" s="5"/>
      <c r="C47" s="5" t="s">
        <v>90</v>
      </c>
      <c r="D47" s="5"/>
      <c r="E47" s="52">
        <f t="shared" si="3"/>
        <v>0</v>
      </c>
      <c r="F47" s="5"/>
    </row>
    <row r="48" spans="1:6" ht="14.5" x14ac:dyDescent="0.35">
      <c r="A48" s="5"/>
      <c r="B48" s="5"/>
      <c r="C48" s="5"/>
      <c r="D48" s="5"/>
      <c r="E48" s="5"/>
      <c r="F48" s="5"/>
    </row>
    <row r="49" spans="1:7" ht="14.5" x14ac:dyDescent="0.35">
      <c r="A49" s="1" t="s">
        <v>123</v>
      </c>
      <c r="B49" s="1"/>
      <c r="C49" s="1"/>
      <c r="D49" s="1"/>
      <c r="E49" s="1"/>
      <c r="F49" s="51">
        <f>SUM(E51:E59)</f>
        <v>1130</v>
      </c>
    </row>
    <row r="50" spans="1:7" ht="14.5" x14ac:dyDescent="0.35">
      <c r="A50" s="5"/>
      <c r="B50" s="5" t="s">
        <v>2</v>
      </c>
      <c r="C50" s="5"/>
      <c r="D50" s="5" t="s">
        <v>3</v>
      </c>
      <c r="E50" s="5" t="s">
        <v>4</v>
      </c>
      <c r="F50" s="5"/>
    </row>
    <row r="51" spans="1:7" ht="14.5" x14ac:dyDescent="0.35">
      <c r="A51" s="5" t="s">
        <v>121</v>
      </c>
      <c r="B51" s="52">
        <v>2E-3</v>
      </c>
      <c r="C51" s="5" t="s">
        <v>7</v>
      </c>
      <c r="D51" s="53">
        <v>430000</v>
      </c>
      <c r="E51" s="52">
        <f t="shared" ref="E51:E59" si="4">D51*B51</f>
        <v>860</v>
      </c>
      <c r="F51" s="5"/>
      <c r="G51" s="12"/>
    </row>
    <row r="52" spans="1:7" ht="14.5" x14ac:dyDescent="0.35">
      <c r="A52" s="5" t="s">
        <v>118</v>
      </c>
      <c r="B52" s="52">
        <v>1</v>
      </c>
      <c r="C52" s="5" t="s">
        <v>7</v>
      </c>
      <c r="D52" s="52">
        <v>100</v>
      </c>
      <c r="E52" s="52">
        <f t="shared" si="4"/>
        <v>100</v>
      </c>
      <c r="F52" s="5"/>
    </row>
    <row r="53" spans="1:7" ht="14.5" x14ac:dyDescent="0.35">
      <c r="A53" s="5" t="s">
        <v>89</v>
      </c>
      <c r="B53" s="52">
        <v>0.02</v>
      </c>
      <c r="C53" s="5" t="s">
        <v>119</v>
      </c>
      <c r="D53" s="52">
        <v>8500</v>
      </c>
      <c r="E53" s="52">
        <f t="shared" si="4"/>
        <v>170</v>
      </c>
      <c r="F53" s="5"/>
    </row>
    <row r="54" spans="1:7" ht="14.5" x14ac:dyDescent="0.35">
      <c r="A54" s="5"/>
      <c r="B54" s="5"/>
      <c r="C54" s="5"/>
      <c r="D54" s="5"/>
      <c r="E54" s="52">
        <f t="shared" si="4"/>
        <v>0</v>
      </c>
      <c r="F54" s="5"/>
    </row>
    <row r="55" spans="1:7" ht="14.5" x14ac:dyDescent="0.35">
      <c r="A55" s="5"/>
      <c r="B55" s="5"/>
      <c r="C55" s="5"/>
      <c r="D55" s="5"/>
      <c r="E55" s="52">
        <f t="shared" si="4"/>
        <v>0</v>
      </c>
      <c r="F55" s="5"/>
    </row>
    <row r="56" spans="1:7" ht="14.5" x14ac:dyDescent="0.35">
      <c r="A56" s="5"/>
      <c r="B56" s="5"/>
      <c r="C56" s="5"/>
      <c r="D56" s="5"/>
      <c r="E56" s="52">
        <f t="shared" si="4"/>
        <v>0</v>
      </c>
      <c r="F56" s="5"/>
    </row>
    <row r="57" spans="1:7" ht="14.5" x14ac:dyDescent="0.35">
      <c r="A57" s="5"/>
      <c r="B57" s="5"/>
      <c r="C57" s="5"/>
      <c r="D57" s="5"/>
      <c r="E57" s="52">
        <f t="shared" si="4"/>
        <v>0</v>
      </c>
      <c r="F57" s="5"/>
    </row>
    <row r="58" spans="1:7" ht="14.5" x14ac:dyDescent="0.35">
      <c r="A58" s="5"/>
      <c r="B58" s="5"/>
      <c r="C58" s="5"/>
      <c r="D58" s="5"/>
      <c r="E58" s="52">
        <f t="shared" si="4"/>
        <v>0</v>
      </c>
      <c r="F58" s="5"/>
    </row>
    <row r="59" spans="1:7" ht="14.5" x14ac:dyDescent="0.35">
      <c r="A59" s="5"/>
      <c r="B59" s="5"/>
      <c r="C59" s="5"/>
      <c r="D59" s="5"/>
      <c r="E59" s="52">
        <f t="shared" si="4"/>
        <v>0</v>
      </c>
      <c r="F59" s="5"/>
    </row>
    <row r="60" spans="1:7" ht="14.5" x14ac:dyDescent="0.35">
      <c r="A60" s="5"/>
      <c r="B60" s="5"/>
      <c r="C60" s="5"/>
      <c r="D60" s="5"/>
      <c r="E60" s="5"/>
      <c r="F60" s="5"/>
    </row>
    <row r="61" spans="1:7" ht="14.5" x14ac:dyDescent="0.35">
      <c r="A61" s="58" t="s">
        <v>211</v>
      </c>
      <c r="B61" s="1"/>
      <c r="C61" s="1"/>
      <c r="D61" s="1"/>
      <c r="E61" s="1"/>
      <c r="F61" s="51">
        <f>SUM(E63:E71)</f>
        <v>709634.54861111112</v>
      </c>
    </row>
    <row r="62" spans="1:7" ht="14.5" x14ac:dyDescent="0.35">
      <c r="A62" s="5"/>
      <c r="B62" s="5" t="s">
        <v>2</v>
      </c>
      <c r="C62" s="5"/>
      <c r="D62" s="5" t="s">
        <v>3</v>
      </c>
      <c r="E62" s="5" t="s">
        <v>4</v>
      </c>
      <c r="F62" s="5"/>
    </row>
    <row r="63" spans="1:7" ht="14.5" x14ac:dyDescent="0.35">
      <c r="A63" s="5" t="s">
        <v>211</v>
      </c>
      <c r="B63" s="5">
        <v>2</v>
      </c>
      <c r="C63" s="5" t="s">
        <v>90</v>
      </c>
      <c r="D63" s="5">
        <v>350000</v>
      </c>
      <c r="E63" s="52">
        <f t="shared" ref="E63:E71" si="5">D63*B63</f>
        <v>700000</v>
      </c>
      <c r="F63" s="5"/>
    </row>
    <row r="64" spans="1:7" ht="15.75" customHeight="1" x14ac:dyDescent="0.55000000000000004">
      <c r="A64" s="5" t="s">
        <v>89</v>
      </c>
      <c r="B64" s="52">
        <f>20/60</f>
        <v>0.33333333333333331</v>
      </c>
      <c r="C64" s="5" t="s">
        <v>119</v>
      </c>
      <c r="D64" s="54">
        <f>'PH Umum 2024'!F37</f>
        <v>28903.645833333332</v>
      </c>
      <c r="E64" s="52">
        <f t="shared" si="5"/>
        <v>9634.5486111111095</v>
      </c>
      <c r="F64" s="5"/>
    </row>
    <row r="65" spans="1:6" ht="14.5" x14ac:dyDescent="0.35">
      <c r="A65" s="5"/>
      <c r="B65" s="5"/>
      <c r="C65" s="5" t="s">
        <v>90</v>
      </c>
      <c r="D65" s="5"/>
      <c r="E65" s="52">
        <f t="shared" si="5"/>
        <v>0</v>
      </c>
      <c r="F65" s="5"/>
    </row>
    <row r="66" spans="1:6" ht="14.5" x14ac:dyDescent="0.35">
      <c r="A66" s="5"/>
      <c r="B66" s="5"/>
      <c r="C66" s="5" t="s">
        <v>90</v>
      </c>
      <c r="D66" s="5"/>
      <c r="E66" s="52">
        <f t="shared" si="5"/>
        <v>0</v>
      </c>
      <c r="F66" s="5"/>
    </row>
    <row r="67" spans="1:6" ht="14.5" x14ac:dyDescent="0.35">
      <c r="A67" s="5"/>
      <c r="B67" s="5"/>
      <c r="C67" s="5" t="s">
        <v>90</v>
      </c>
      <c r="D67" s="5"/>
      <c r="E67" s="52">
        <f t="shared" si="5"/>
        <v>0</v>
      </c>
      <c r="F67" s="5"/>
    </row>
    <row r="68" spans="1:6" ht="14.5" x14ac:dyDescent="0.35">
      <c r="A68" s="5"/>
      <c r="B68" s="5"/>
      <c r="C68" s="5" t="s">
        <v>90</v>
      </c>
      <c r="D68" s="5"/>
      <c r="E68" s="52">
        <f t="shared" si="5"/>
        <v>0</v>
      </c>
      <c r="F68" s="5"/>
    </row>
    <row r="69" spans="1:6" ht="14.5" x14ac:dyDescent="0.35">
      <c r="A69" s="5"/>
      <c r="B69" s="5"/>
      <c r="C69" s="5" t="s">
        <v>90</v>
      </c>
      <c r="D69" s="5"/>
      <c r="E69" s="52">
        <f t="shared" si="5"/>
        <v>0</v>
      </c>
      <c r="F69" s="5"/>
    </row>
    <row r="70" spans="1:6" ht="14.5" x14ac:dyDescent="0.35">
      <c r="A70" s="5"/>
      <c r="B70" s="5"/>
      <c r="C70" s="5" t="s">
        <v>90</v>
      </c>
      <c r="D70" s="5"/>
      <c r="E70" s="52">
        <f t="shared" si="5"/>
        <v>0</v>
      </c>
      <c r="F70" s="5"/>
    </row>
    <row r="71" spans="1:6" ht="14.5" x14ac:dyDescent="0.35">
      <c r="A71" s="5"/>
      <c r="B71" s="5"/>
      <c r="C71" s="5" t="s">
        <v>90</v>
      </c>
      <c r="D71" s="5"/>
      <c r="E71" s="52">
        <f t="shared" si="5"/>
        <v>0</v>
      </c>
      <c r="F71" s="5"/>
    </row>
    <row r="72" spans="1:6" ht="14.5" x14ac:dyDescent="0.35">
      <c r="A72" s="5"/>
      <c r="B72" s="5"/>
      <c r="C72" s="5"/>
      <c r="D72" s="5"/>
      <c r="E72" s="5"/>
      <c r="F72" s="5"/>
    </row>
    <row r="73" spans="1:6" ht="14.5" x14ac:dyDescent="0.35">
      <c r="A73" s="1" t="s">
        <v>122</v>
      </c>
      <c r="B73" s="1"/>
      <c r="C73" s="1"/>
      <c r="D73" s="1"/>
      <c r="E73" s="1"/>
      <c r="F73" s="51">
        <f>SUM(E75:E83)</f>
        <v>0</v>
      </c>
    </row>
    <row r="74" spans="1:6" ht="14.5" x14ac:dyDescent="0.35">
      <c r="A74" s="5"/>
      <c r="B74" s="5" t="s">
        <v>2</v>
      </c>
      <c r="C74" s="5"/>
      <c r="D74" s="5" t="s">
        <v>3</v>
      </c>
      <c r="E74" s="5" t="s">
        <v>4</v>
      </c>
      <c r="F74" s="5"/>
    </row>
    <row r="75" spans="1:6" ht="14.5" x14ac:dyDescent="0.35">
      <c r="A75" s="5"/>
      <c r="B75" s="5"/>
      <c r="C75" s="5" t="s">
        <v>90</v>
      </c>
      <c r="D75" s="5"/>
      <c r="E75" s="52">
        <f t="shared" ref="E75:E83" si="6">D75*B75</f>
        <v>0</v>
      </c>
      <c r="F75" s="5"/>
    </row>
    <row r="76" spans="1:6" ht="14.5" x14ac:dyDescent="0.35">
      <c r="A76" s="5"/>
      <c r="B76" s="5"/>
      <c r="C76" s="5" t="s">
        <v>90</v>
      </c>
      <c r="D76" s="5"/>
      <c r="E76" s="52">
        <f t="shared" si="6"/>
        <v>0</v>
      </c>
      <c r="F76" s="5"/>
    </row>
    <row r="77" spans="1:6" ht="14.5" x14ac:dyDescent="0.35">
      <c r="A77" s="5"/>
      <c r="B77" s="5"/>
      <c r="C77" s="5" t="s">
        <v>90</v>
      </c>
      <c r="D77" s="5"/>
      <c r="E77" s="52">
        <f t="shared" si="6"/>
        <v>0</v>
      </c>
      <c r="F77" s="5"/>
    </row>
    <row r="78" spans="1:6" ht="14.5" x14ac:dyDescent="0.35">
      <c r="A78" s="5"/>
      <c r="B78" s="5"/>
      <c r="C78" s="5" t="s">
        <v>90</v>
      </c>
      <c r="D78" s="5"/>
      <c r="E78" s="52">
        <f t="shared" si="6"/>
        <v>0</v>
      </c>
      <c r="F78" s="5"/>
    </row>
    <row r="79" spans="1:6" ht="14.5" x14ac:dyDescent="0.35">
      <c r="A79" s="5"/>
      <c r="B79" s="5"/>
      <c r="C79" s="5" t="s">
        <v>90</v>
      </c>
      <c r="D79" s="5"/>
      <c r="E79" s="52">
        <f t="shared" si="6"/>
        <v>0</v>
      </c>
      <c r="F79" s="5"/>
    </row>
    <row r="80" spans="1:6" ht="14.5" x14ac:dyDescent="0.35">
      <c r="A80" s="5"/>
      <c r="B80" s="5"/>
      <c r="C80" s="5" t="s">
        <v>90</v>
      </c>
      <c r="D80" s="5"/>
      <c r="E80" s="52">
        <f t="shared" si="6"/>
        <v>0</v>
      </c>
      <c r="F80" s="5"/>
    </row>
    <row r="81" spans="1:6" ht="14.5" x14ac:dyDescent="0.35">
      <c r="A81" s="5"/>
      <c r="B81" s="5"/>
      <c r="C81" s="5" t="s">
        <v>90</v>
      </c>
      <c r="D81" s="5"/>
      <c r="E81" s="52">
        <f t="shared" si="6"/>
        <v>0</v>
      </c>
      <c r="F81" s="5"/>
    </row>
    <row r="82" spans="1:6" ht="14.5" x14ac:dyDescent="0.35">
      <c r="A82" s="5"/>
      <c r="B82" s="5"/>
      <c r="C82" s="5" t="s">
        <v>90</v>
      </c>
      <c r="D82" s="5"/>
      <c r="E82" s="52">
        <f t="shared" si="6"/>
        <v>0</v>
      </c>
      <c r="F82" s="5"/>
    </row>
    <row r="83" spans="1:6" ht="14.5" x14ac:dyDescent="0.35">
      <c r="A83" s="5"/>
      <c r="B83" s="5"/>
      <c r="C83" s="5" t="s">
        <v>90</v>
      </c>
      <c r="D83" s="5"/>
      <c r="E83" s="52">
        <f t="shared" si="6"/>
        <v>0</v>
      </c>
      <c r="F83" s="5"/>
    </row>
    <row r="84" spans="1:6" ht="14.5" x14ac:dyDescent="0.35">
      <c r="A84" s="5"/>
      <c r="B84" s="5"/>
      <c r="C84" s="5"/>
      <c r="D84" s="5"/>
      <c r="E84" s="5"/>
      <c r="F84" s="5"/>
    </row>
    <row r="85" spans="1:6" ht="14.5" x14ac:dyDescent="0.35">
      <c r="A85" s="1" t="s">
        <v>122</v>
      </c>
      <c r="B85" s="1"/>
      <c r="C85" s="1"/>
      <c r="D85" s="1"/>
      <c r="E85" s="1"/>
      <c r="F85" s="51">
        <f>SUM(E87:E95)</f>
        <v>0</v>
      </c>
    </row>
    <row r="86" spans="1:6" ht="14.5" x14ac:dyDescent="0.35">
      <c r="A86" s="5"/>
      <c r="B86" s="5" t="s">
        <v>2</v>
      </c>
      <c r="C86" s="5"/>
      <c r="D86" s="5" t="s">
        <v>3</v>
      </c>
      <c r="E86" s="5" t="s">
        <v>4</v>
      </c>
      <c r="F86" s="5"/>
    </row>
    <row r="87" spans="1:6" ht="14.5" x14ac:dyDescent="0.35">
      <c r="A87" s="5"/>
      <c r="B87" s="5"/>
      <c r="C87" s="5" t="s">
        <v>90</v>
      </c>
      <c r="D87" s="5"/>
      <c r="E87" s="52">
        <f t="shared" ref="E87:E95" si="7">D87*B87</f>
        <v>0</v>
      </c>
      <c r="F87" s="5"/>
    </row>
    <row r="88" spans="1:6" ht="14.5" x14ac:dyDescent="0.35">
      <c r="A88" s="5"/>
      <c r="B88" s="5"/>
      <c r="C88" s="5" t="s">
        <v>90</v>
      </c>
      <c r="D88" s="5"/>
      <c r="E88" s="52">
        <f t="shared" si="7"/>
        <v>0</v>
      </c>
      <c r="F88" s="5"/>
    </row>
    <row r="89" spans="1:6" ht="14.5" x14ac:dyDescent="0.35">
      <c r="A89" s="5"/>
      <c r="B89" s="5"/>
      <c r="C89" s="5" t="s">
        <v>90</v>
      </c>
      <c r="D89" s="5"/>
      <c r="E89" s="52">
        <f t="shared" si="7"/>
        <v>0</v>
      </c>
      <c r="F89" s="5"/>
    </row>
    <row r="90" spans="1:6" ht="14.5" x14ac:dyDescent="0.35">
      <c r="A90" s="5"/>
      <c r="B90" s="5"/>
      <c r="C90" s="5" t="s">
        <v>90</v>
      </c>
      <c r="D90" s="5"/>
      <c r="E90" s="52">
        <f t="shared" si="7"/>
        <v>0</v>
      </c>
      <c r="F90" s="5"/>
    </row>
    <row r="91" spans="1:6" ht="14.5" x14ac:dyDescent="0.35">
      <c r="A91" s="5"/>
      <c r="B91" s="5"/>
      <c r="C91" s="5" t="s">
        <v>90</v>
      </c>
      <c r="D91" s="5"/>
      <c r="E91" s="52">
        <f t="shared" si="7"/>
        <v>0</v>
      </c>
      <c r="F91" s="5"/>
    </row>
    <row r="92" spans="1:6" ht="14.5" x14ac:dyDescent="0.35">
      <c r="A92" s="5"/>
      <c r="B92" s="5"/>
      <c r="C92" s="5" t="s">
        <v>90</v>
      </c>
      <c r="D92" s="5"/>
      <c r="E92" s="52">
        <f t="shared" si="7"/>
        <v>0</v>
      </c>
      <c r="F92" s="5"/>
    </row>
    <row r="93" spans="1:6" ht="14.5" x14ac:dyDescent="0.35">
      <c r="A93" s="5"/>
      <c r="B93" s="5"/>
      <c r="C93" s="5" t="s">
        <v>90</v>
      </c>
      <c r="D93" s="5"/>
      <c r="E93" s="52">
        <f t="shared" si="7"/>
        <v>0</v>
      </c>
      <c r="F93" s="5"/>
    </row>
    <row r="94" spans="1:6" ht="14.5" x14ac:dyDescent="0.35">
      <c r="A94" s="5"/>
      <c r="B94" s="5"/>
      <c r="C94" s="5" t="s">
        <v>90</v>
      </c>
      <c r="D94" s="5"/>
      <c r="E94" s="52">
        <f t="shared" si="7"/>
        <v>0</v>
      </c>
      <c r="F94" s="5"/>
    </row>
    <row r="95" spans="1:6" ht="14.5" x14ac:dyDescent="0.35">
      <c r="A95" s="5"/>
      <c r="B95" s="5"/>
      <c r="C95" s="5" t="s">
        <v>90</v>
      </c>
      <c r="D95" s="5"/>
      <c r="E95" s="52">
        <f t="shared" si="7"/>
        <v>0</v>
      </c>
      <c r="F95" s="5"/>
    </row>
    <row r="96" spans="1:6" ht="14.5" x14ac:dyDescent="0.35">
      <c r="A96" s="5"/>
      <c r="B96" s="5"/>
      <c r="C96" s="5"/>
      <c r="D96" s="5"/>
      <c r="E96" s="5"/>
      <c r="F96" s="5"/>
    </row>
    <row r="97" spans="1:6" ht="14.5" x14ac:dyDescent="0.35">
      <c r="A97" s="1" t="s">
        <v>124</v>
      </c>
      <c r="B97" s="1"/>
      <c r="C97" s="1"/>
      <c r="D97" s="1"/>
      <c r="E97" s="1"/>
      <c r="F97" s="51">
        <f>SUM(E99:E107)</f>
        <v>2500</v>
      </c>
    </row>
    <row r="98" spans="1:6" ht="14.5" x14ac:dyDescent="0.35">
      <c r="A98" s="5"/>
      <c r="B98" s="5" t="s">
        <v>2</v>
      </c>
      <c r="C98" s="5"/>
      <c r="D98" s="5" t="s">
        <v>3</v>
      </c>
      <c r="E98" s="5" t="s">
        <v>4</v>
      </c>
      <c r="F98" s="5"/>
    </row>
    <row r="99" spans="1:6" ht="14.5" x14ac:dyDescent="0.35">
      <c r="A99" s="5" t="s">
        <v>124</v>
      </c>
      <c r="B99" s="52">
        <v>1</v>
      </c>
      <c r="C99" s="5" t="s">
        <v>62</v>
      </c>
      <c r="D99" s="52">
        <v>2500</v>
      </c>
      <c r="E99" s="52">
        <f t="shared" ref="E99:E107" si="8">D99*B99</f>
        <v>2500</v>
      </c>
      <c r="F99" s="5"/>
    </row>
    <row r="100" spans="1:6" ht="14.5" x14ac:dyDescent="0.35">
      <c r="A100" s="5"/>
      <c r="B100" s="5"/>
      <c r="C100" s="5"/>
      <c r="D100" s="5"/>
      <c r="E100" s="52">
        <f t="shared" si="8"/>
        <v>0</v>
      </c>
      <c r="F100" s="5"/>
    </row>
    <row r="101" spans="1:6" ht="14.5" x14ac:dyDescent="0.35">
      <c r="A101" s="5"/>
      <c r="B101" s="5"/>
      <c r="C101" s="5"/>
      <c r="D101" s="5"/>
      <c r="E101" s="52">
        <f t="shared" si="8"/>
        <v>0</v>
      </c>
      <c r="F101" s="5"/>
    </row>
    <row r="102" spans="1:6" ht="14.5" x14ac:dyDescent="0.35">
      <c r="A102" s="5"/>
      <c r="B102" s="5"/>
      <c r="C102" s="5"/>
      <c r="D102" s="5"/>
      <c r="E102" s="52">
        <f t="shared" si="8"/>
        <v>0</v>
      </c>
      <c r="F102" s="5"/>
    </row>
    <row r="103" spans="1:6" ht="14.5" x14ac:dyDescent="0.35">
      <c r="A103" s="5"/>
      <c r="B103" s="5"/>
      <c r="C103" s="5"/>
      <c r="D103" s="5"/>
      <c r="E103" s="52">
        <f t="shared" si="8"/>
        <v>0</v>
      </c>
      <c r="F103" s="5"/>
    </row>
    <row r="104" spans="1:6" ht="14.5" x14ac:dyDescent="0.35">
      <c r="A104" s="5"/>
      <c r="B104" s="5"/>
      <c r="C104" s="5"/>
      <c r="D104" s="5"/>
      <c r="E104" s="52">
        <f t="shared" si="8"/>
        <v>0</v>
      </c>
      <c r="F104" s="5"/>
    </row>
    <row r="105" spans="1:6" ht="14.5" x14ac:dyDescent="0.35">
      <c r="A105" s="5"/>
      <c r="B105" s="5"/>
      <c r="C105" s="5"/>
      <c r="D105" s="5"/>
      <c r="E105" s="52">
        <f t="shared" si="8"/>
        <v>0</v>
      </c>
      <c r="F105" s="5"/>
    </row>
    <row r="106" spans="1:6" ht="14.5" x14ac:dyDescent="0.35">
      <c r="A106" s="5"/>
      <c r="B106" s="5"/>
      <c r="C106" s="5"/>
      <c r="D106" s="5"/>
      <c r="E106" s="52">
        <f t="shared" si="8"/>
        <v>0</v>
      </c>
      <c r="F106" s="5"/>
    </row>
    <row r="107" spans="1:6" ht="14.5" x14ac:dyDescent="0.35">
      <c r="A107" s="5"/>
      <c r="B107" s="5"/>
      <c r="C107" s="5"/>
      <c r="D107" s="5"/>
      <c r="E107" s="52">
        <f t="shared" si="8"/>
        <v>0</v>
      </c>
      <c r="F107" s="5"/>
    </row>
    <row r="108" spans="1:6" ht="14.5" x14ac:dyDescent="0.35">
      <c r="A108" s="5"/>
      <c r="B108" s="5"/>
      <c r="C108" s="5"/>
      <c r="D108" s="5"/>
      <c r="E108" s="5"/>
      <c r="F108" s="5"/>
    </row>
    <row r="109" spans="1:6" ht="14.5" x14ac:dyDescent="0.35">
      <c r="A109" s="1" t="s">
        <v>125</v>
      </c>
      <c r="B109" s="1"/>
      <c r="C109" s="1"/>
      <c r="D109" s="1"/>
      <c r="E109" s="1"/>
      <c r="F109" s="51">
        <f>SUM(E111:E119)</f>
        <v>2500</v>
      </c>
    </row>
    <row r="110" spans="1:6" ht="14.5" x14ac:dyDescent="0.35">
      <c r="A110" s="5"/>
      <c r="B110" s="5" t="s">
        <v>2</v>
      </c>
      <c r="C110" s="5"/>
      <c r="D110" s="5" t="s">
        <v>3</v>
      </c>
      <c r="E110" s="5" t="s">
        <v>4</v>
      </c>
      <c r="F110" s="5"/>
    </row>
    <row r="111" spans="1:6" ht="14.5" x14ac:dyDescent="0.35">
      <c r="A111" s="5" t="s">
        <v>125</v>
      </c>
      <c r="B111" s="52">
        <v>1</v>
      </c>
      <c r="C111" s="5" t="s">
        <v>62</v>
      </c>
      <c r="D111" s="52">
        <v>2500</v>
      </c>
      <c r="E111" s="52">
        <f t="shared" ref="E111:E119" si="9">D111*B111</f>
        <v>2500</v>
      </c>
      <c r="F111" s="5"/>
    </row>
    <row r="112" spans="1:6" ht="14.5" x14ac:dyDescent="0.35">
      <c r="A112" s="5"/>
      <c r="B112" s="5"/>
      <c r="C112" s="5"/>
      <c r="D112" s="5"/>
      <c r="E112" s="52">
        <f t="shared" si="9"/>
        <v>0</v>
      </c>
      <c r="F112" s="5"/>
    </row>
    <row r="113" spans="1:6" ht="14.5" x14ac:dyDescent="0.35">
      <c r="A113" s="5"/>
      <c r="B113" s="5"/>
      <c r="C113" s="5"/>
      <c r="D113" s="5"/>
      <c r="E113" s="52">
        <f t="shared" si="9"/>
        <v>0</v>
      </c>
      <c r="F113" s="5"/>
    </row>
    <row r="114" spans="1:6" ht="14.5" x14ac:dyDescent="0.35">
      <c r="A114" s="5"/>
      <c r="B114" s="5"/>
      <c r="C114" s="5"/>
      <c r="D114" s="5"/>
      <c r="E114" s="52">
        <f t="shared" si="9"/>
        <v>0</v>
      </c>
      <c r="F114" s="5"/>
    </row>
    <row r="115" spans="1:6" ht="14.5" x14ac:dyDescent="0.35">
      <c r="A115" s="5"/>
      <c r="B115" s="5"/>
      <c r="C115" s="5"/>
      <c r="D115" s="5"/>
      <c r="E115" s="52">
        <f t="shared" si="9"/>
        <v>0</v>
      </c>
      <c r="F115" s="5"/>
    </row>
    <row r="116" spans="1:6" ht="14.5" x14ac:dyDescent="0.35">
      <c r="A116" s="5"/>
      <c r="B116" s="5"/>
      <c r="C116" s="5"/>
      <c r="D116" s="5"/>
      <c r="E116" s="52">
        <f t="shared" si="9"/>
        <v>0</v>
      </c>
      <c r="F116" s="5"/>
    </row>
    <row r="117" spans="1:6" ht="14.5" x14ac:dyDescent="0.35">
      <c r="A117" s="5"/>
      <c r="B117" s="5"/>
      <c r="C117" s="5"/>
      <c r="D117" s="5"/>
      <c r="E117" s="52">
        <f t="shared" si="9"/>
        <v>0</v>
      </c>
      <c r="F117" s="5"/>
    </row>
    <row r="118" spans="1:6" ht="14.5" x14ac:dyDescent="0.35">
      <c r="A118" s="5"/>
      <c r="B118" s="5"/>
      <c r="C118" s="5"/>
      <c r="D118" s="5"/>
      <c r="E118" s="52">
        <f t="shared" si="9"/>
        <v>0</v>
      </c>
      <c r="F118" s="5"/>
    </row>
    <row r="119" spans="1:6" ht="14.5" x14ac:dyDescent="0.35">
      <c r="A119" s="5"/>
      <c r="B119" s="5"/>
      <c r="C119" s="5"/>
      <c r="D119" s="5"/>
      <c r="E119" s="52">
        <f t="shared" si="9"/>
        <v>0</v>
      </c>
      <c r="F119" s="5"/>
    </row>
    <row r="120" spans="1:6" ht="14.5" x14ac:dyDescent="0.35">
      <c r="A120" s="5"/>
      <c r="B120" s="5"/>
      <c r="C120" s="5"/>
      <c r="D120" s="5"/>
      <c r="E120" s="5"/>
      <c r="F120" s="5"/>
    </row>
    <row r="121" spans="1:6" ht="14.5" x14ac:dyDescent="0.35">
      <c r="A121" s="1" t="s">
        <v>122</v>
      </c>
      <c r="B121" s="1"/>
      <c r="C121" s="1"/>
      <c r="D121" s="1"/>
      <c r="E121" s="1"/>
      <c r="F121" s="51">
        <f>SUM(E123:E131)</f>
        <v>0</v>
      </c>
    </row>
    <row r="122" spans="1:6" ht="14.5" x14ac:dyDescent="0.35">
      <c r="A122" s="5"/>
      <c r="B122" s="5" t="s">
        <v>2</v>
      </c>
      <c r="C122" s="5"/>
      <c r="D122" s="5" t="s">
        <v>3</v>
      </c>
      <c r="E122" s="5" t="s">
        <v>4</v>
      </c>
      <c r="F122" s="5"/>
    </row>
    <row r="123" spans="1:6" ht="14.5" x14ac:dyDescent="0.35">
      <c r="A123" s="5"/>
      <c r="B123" s="5"/>
      <c r="C123" s="5" t="s">
        <v>90</v>
      </c>
      <c r="D123" s="5"/>
      <c r="E123" s="52">
        <f t="shared" ref="E123:E131" si="10">D123*B123</f>
        <v>0</v>
      </c>
      <c r="F123" s="5"/>
    </row>
    <row r="124" spans="1:6" ht="14.5" x14ac:dyDescent="0.35">
      <c r="A124" s="5"/>
      <c r="B124" s="5"/>
      <c r="C124" s="5" t="s">
        <v>90</v>
      </c>
      <c r="D124" s="5"/>
      <c r="E124" s="52">
        <f t="shared" si="10"/>
        <v>0</v>
      </c>
      <c r="F124" s="5"/>
    </row>
    <row r="125" spans="1:6" ht="14.5" x14ac:dyDescent="0.35">
      <c r="A125" s="5"/>
      <c r="B125" s="5"/>
      <c r="C125" s="5" t="s">
        <v>90</v>
      </c>
      <c r="D125" s="5"/>
      <c r="E125" s="52">
        <f t="shared" si="10"/>
        <v>0</v>
      </c>
      <c r="F125" s="5"/>
    </row>
    <row r="126" spans="1:6" ht="14.5" x14ac:dyDescent="0.35">
      <c r="A126" s="5"/>
      <c r="B126" s="5"/>
      <c r="C126" s="5" t="s">
        <v>90</v>
      </c>
      <c r="D126" s="5"/>
      <c r="E126" s="52">
        <f t="shared" si="10"/>
        <v>0</v>
      </c>
      <c r="F126" s="5"/>
    </row>
    <row r="127" spans="1:6" ht="14.5" x14ac:dyDescent="0.35">
      <c r="A127" s="5"/>
      <c r="B127" s="5"/>
      <c r="C127" s="5" t="s">
        <v>90</v>
      </c>
      <c r="D127" s="5"/>
      <c r="E127" s="52">
        <f t="shared" si="10"/>
        <v>0</v>
      </c>
      <c r="F127" s="5"/>
    </row>
    <row r="128" spans="1:6" ht="14.5" x14ac:dyDescent="0.35">
      <c r="A128" s="5"/>
      <c r="B128" s="5"/>
      <c r="C128" s="5" t="s">
        <v>90</v>
      </c>
      <c r="D128" s="5"/>
      <c r="E128" s="52">
        <f t="shared" si="10"/>
        <v>0</v>
      </c>
      <c r="F128" s="5"/>
    </row>
    <row r="129" spans="1:6" ht="14.5" x14ac:dyDescent="0.35">
      <c r="A129" s="5"/>
      <c r="B129" s="5"/>
      <c r="C129" s="5" t="s">
        <v>90</v>
      </c>
      <c r="D129" s="5"/>
      <c r="E129" s="52">
        <f t="shared" si="10"/>
        <v>0</v>
      </c>
      <c r="F129" s="5"/>
    </row>
    <row r="130" spans="1:6" ht="14.5" x14ac:dyDescent="0.35">
      <c r="A130" s="5"/>
      <c r="B130" s="5"/>
      <c r="C130" s="5" t="s">
        <v>90</v>
      </c>
      <c r="D130" s="5"/>
      <c r="E130" s="52">
        <f t="shared" si="10"/>
        <v>0</v>
      </c>
      <c r="F130" s="5"/>
    </row>
    <row r="131" spans="1:6" ht="14.5" x14ac:dyDescent="0.35">
      <c r="A131" s="5"/>
      <c r="B131" s="5"/>
      <c r="C131" s="5" t="s">
        <v>90</v>
      </c>
      <c r="D131" s="5"/>
      <c r="E131" s="52">
        <f t="shared" si="10"/>
        <v>0</v>
      </c>
      <c r="F131" s="5"/>
    </row>
    <row r="132" spans="1:6" ht="14.5" x14ac:dyDescent="0.35">
      <c r="A132" s="5"/>
      <c r="B132" s="5"/>
      <c r="C132" s="5"/>
      <c r="D132" s="5"/>
      <c r="E132" s="5"/>
      <c r="F132" s="5"/>
    </row>
    <row r="133" spans="1:6" ht="14.5" x14ac:dyDescent="0.35">
      <c r="A133" s="1" t="s">
        <v>122</v>
      </c>
      <c r="B133" s="1"/>
      <c r="C133" s="1"/>
      <c r="D133" s="1"/>
      <c r="E133" s="1"/>
      <c r="F133" s="51">
        <f>SUM(E135:E143)</f>
        <v>0</v>
      </c>
    </row>
    <row r="134" spans="1:6" ht="14.5" x14ac:dyDescent="0.35">
      <c r="A134" s="5"/>
      <c r="B134" s="5" t="s">
        <v>2</v>
      </c>
      <c r="C134" s="5"/>
      <c r="D134" s="5" t="s">
        <v>3</v>
      </c>
      <c r="E134" s="5" t="s">
        <v>4</v>
      </c>
      <c r="F134" s="5"/>
    </row>
    <row r="135" spans="1:6" ht="14.5" x14ac:dyDescent="0.35">
      <c r="A135" s="5"/>
      <c r="B135" s="5"/>
      <c r="C135" s="5" t="s">
        <v>90</v>
      </c>
      <c r="D135" s="5"/>
      <c r="E135" s="52">
        <f t="shared" ref="E135:E143" si="11">D135*B135</f>
        <v>0</v>
      </c>
      <c r="F135" s="5"/>
    </row>
    <row r="136" spans="1:6" ht="14.5" x14ac:dyDescent="0.35">
      <c r="A136" s="5"/>
      <c r="B136" s="5"/>
      <c r="C136" s="5" t="s">
        <v>90</v>
      </c>
      <c r="D136" s="5"/>
      <c r="E136" s="52">
        <f t="shared" si="11"/>
        <v>0</v>
      </c>
      <c r="F136" s="5"/>
    </row>
    <row r="137" spans="1:6" ht="14.5" x14ac:dyDescent="0.35">
      <c r="A137" s="5"/>
      <c r="B137" s="5"/>
      <c r="C137" s="5" t="s">
        <v>90</v>
      </c>
      <c r="D137" s="5"/>
      <c r="E137" s="52">
        <f t="shared" si="11"/>
        <v>0</v>
      </c>
      <c r="F137" s="5"/>
    </row>
    <row r="138" spans="1:6" ht="14.5" x14ac:dyDescent="0.35">
      <c r="A138" s="5"/>
      <c r="B138" s="5"/>
      <c r="C138" s="5" t="s">
        <v>90</v>
      </c>
      <c r="D138" s="5"/>
      <c r="E138" s="52">
        <f t="shared" si="11"/>
        <v>0</v>
      </c>
      <c r="F138" s="5"/>
    </row>
    <row r="139" spans="1:6" ht="14.5" x14ac:dyDescent="0.35">
      <c r="A139" s="5"/>
      <c r="B139" s="5"/>
      <c r="C139" s="5" t="s">
        <v>90</v>
      </c>
      <c r="D139" s="5"/>
      <c r="E139" s="52">
        <f t="shared" si="11"/>
        <v>0</v>
      </c>
      <c r="F139" s="5"/>
    </row>
    <row r="140" spans="1:6" ht="14.5" x14ac:dyDescent="0.35">
      <c r="A140" s="5"/>
      <c r="B140" s="5"/>
      <c r="C140" s="5" t="s">
        <v>90</v>
      </c>
      <c r="D140" s="5"/>
      <c r="E140" s="52">
        <f t="shared" si="11"/>
        <v>0</v>
      </c>
      <c r="F140" s="5"/>
    </row>
    <row r="141" spans="1:6" ht="14.5" x14ac:dyDescent="0.35">
      <c r="A141" s="5"/>
      <c r="B141" s="5"/>
      <c r="C141" s="5" t="s">
        <v>90</v>
      </c>
      <c r="D141" s="5"/>
      <c r="E141" s="52">
        <f t="shared" si="11"/>
        <v>0</v>
      </c>
      <c r="F141" s="5"/>
    </row>
    <row r="142" spans="1:6" ht="14.5" x14ac:dyDescent="0.35">
      <c r="A142" s="5"/>
      <c r="B142" s="5"/>
      <c r="C142" s="5" t="s">
        <v>90</v>
      </c>
      <c r="D142" s="5"/>
      <c r="E142" s="52">
        <f t="shared" si="11"/>
        <v>0</v>
      </c>
      <c r="F142" s="5"/>
    </row>
    <row r="143" spans="1:6" ht="14.5" x14ac:dyDescent="0.35">
      <c r="A143" s="5"/>
      <c r="B143" s="5"/>
      <c r="C143" s="5" t="s">
        <v>90</v>
      </c>
      <c r="D143" s="5"/>
      <c r="E143" s="52">
        <f t="shared" si="11"/>
        <v>0</v>
      </c>
      <c r="F143" s="5"/>
    </row>
    <row r="144" spans="1:6" ht="14.5" x14ac:dyDescent="0.35">
      <c r="A144" s="5"/>
      <c r="B144" s="5"/>
      <c r="C144" s="5"/>
      <c r="D144" s="5"/>
      <c r="E144" s="5"/>
      <c r="F144" s="5"/>
    </row>
    <row r="145" spans="1:6" ht="14.5" x14ac:dyDescent="0.35">
      <c r="A145" s="1" t="s">
        <v>126</v>
      </c>
      <c r="B145" s="1"/>
      <c r="C145" s="1"/>
      <c r="D145" s="1"/>
      <c r="E145" s="1"/>
      <c r="F145" s="51">
        <f>SUM(E147:E155)</f>
        <v>138000</v>
      </c>
    </row>
    <row r="146" spans="1:6" ht="14.5" x14ac:dyDescent="0.35">
      <c r="A146" s="5"/>
      <c r="B146" s="5" t="s">
        <v>2</v>
      </c>
      <c r="C146" s="5"/>
      <c r="D146" s="5" t="s">
        <v>3</v>
      </c>
      <c r="E146" s="5" t="s">
        <v>4</v>
      </c>
      <c r="F146" s="5"/>
    </row>
    <row r="147" spans="1:6" ht="14.5" x14ac:dyDescent="0.35">
      <c r="A147" s="5" t="s">
        <v>126</v>
      </c>
      <c r="B147" s="52">
        <v>0.3</v>
      </c>
      <c r="C147" s="5" t="s">
        <v>62</v>
      </c>
      <c r="D147" s="52">
        <v>460000</v>
      </c>
      <c r="E147" s="52">
        <f t="shared" ref="E147:E155" si="12">D147*B147</f>
        <v>138000</v>
      </c>
      <c r="F147" s="5"/>
    </row>
    <row r="148" spans="1:6" ht="14.5" x14ac:dyDescent="0.35">
      <c r="A148" s="5"/>
      <c r="B148" s="5"/>
      <c r="C148" s="5"/>
      <c r="D148" s="5"/>
      <c r="E148" s="52">
        <f t="shared" si="12"/>
        <v>0</v>
      </c>
      <c r="F148" s="5"/>
    </row>
    <row r="149" spans="1:6" ht="14.5" x14ac:dyDescent="0.35">
      <c r="A149" s="5"/>
      <c r="B149" s="5"/>
      <c r="C149" s="5"/>
      <c r="D149" s="5"/>
      <c r="E149" s="52">
        <f t="shared" si="12"/>
        <v>0</v>
      </c>
      <c r="F149" s="5"/>
    </row>
    <row r="150" spans="1:6" ht="14.5" x14ac:dyDescent="0.35">
      <c r="A150" s="5"/>
      <c r="B150" s="5"/>
      <c r="C150" s="5"/>
      <c r="D150" s="5"/>
      <c r="E150" s="52">
        <f t="shared" si="12"/>
        <v>0</v>
      </c>
      <c r="F150" s="5"/>
    </row>
    <row r="151" spans="1:6" ht="14.5" x14ac:dyDescent="0.35">
      <c r="A151" s="5"/>
      <c r="B151" s="5"/>
      <c r="C151" s="5"/>
      <c r="D151" s="5"/>
      <c r="E151" s="52">
        <f t="shared" si="12"/>
        <v>0</v>
      </c>
      <c r="F151" s="5"/>
    </row>
    <row r="152" spans="1:6" ht="14.5" x14ac:dyDescent="0.35">
      <c r="A152" s="5"/>
      <c r="B152" s="5"/>
      <c r="C152" s="5"/>
      <c r="D152" s="5"/>
      <c r="E152" s="52">
        <f t="shared" si="12"/>
        <v>0</v>
      </c>
      <c r="F152" s="5"/>
    </row>
    <row r="153" spans="1:6" ht="14.5" x14ac:dyDescent="0.35">
      <c r="A153" s="5"/>
      <c r="B153" s="5"/>
      <c r="C153" s="5"/>
      <c r="D153" s="5"/>
      <c r="E153" s="52">
        <f t="shared" si="12"/>
        <v>0</v>
      </c>
      <c r="F153" s="5"/>
    </row>
    <row r="154" spans="1:6" ht="14.5" x14ac:dyDescent="0.35">
      <c r="A154" s="5"/>
      <c r="B154" s="5"/>
      <c r="C154" s="5"/>
      <c r="D154" s="5"/>
      <c r="E154" s="52">
        <f t="shared" si="12"/>
        <v>0</v>
      </c>
      <c r="F154" s="5"/>
    </row>
    <row r="155" spans="1:6" ht="14.5" x14ac:dyDescent="0.35">
      <c r="A155" s="5"/>
      <c r="B155" s="5"/>
      <c r="C155" s="5"/>
      <c r="D155" s="5"/>
      <c r="E155" s="52">
        <f t="shared" si="12"/>
        <v>0</v>
      </c>
      <c r="F155" s="5"/>
    </row>
    <row r="156" spans="1:6" ht="14.5" x14ac:dyDescent="0.35">
      <c r="A156" s="5"/>
      <c r="B156" s="5"/>
      <c r="C156" s="5"/>
      <c r="D156" s="5"/>
      <c r="E156" s="5"/>
      <c r="F156" s="5"/>
    </row>
    <row r="157" spans="1:6" ht="14.5" x14ac:dyDescent="0.35">
      <c r="A157" s="1" t="s">
        <v>127</v>
      </c>
      <c r="B157" s="1"/>
      <c r="C157" s="1"/>
      <c r="D157" s="1"/>
      <c r="E157" s="1"/>
      <c r="F157" s="51">
        <f>SUM(E159:E167)</f>
        <v>159000</v>
      </c>
    </row>
    <row r="158" spans="1:6" ht="14.5" x14ac:dyDescent="0.35">
      <c r="A158" s="5"/>
      <c r="B158" s="5" t="s">
        <v>2</v>
      </c>
      <c r="C158" s="5"/>
      <c r="D158" s="5" t="s">
        <v>3</v>
      </c>
      <c r="E158" s="5" t="s">
        <v>4</v>
      </c>
      <c r="F158" s="5"/>
    </row>
    <row r="159" spans="1:6" ht="14.5" x14ac:dyDescent="0.35">
      <c r="A159" s="5" t="s">
        <v>127</v>
      </c>
      <c r="B159" s="52">
        <v>0.3</v>
      </c>
      <c r="C159" s="5" t="s">
        <v>62</v>
      </c>
      <c r="D159" s="52">
        <v>530000</v>
      </c>
      <c r="E159" s="52">
        <f t="shared" ref="E159:E167" si="13">D159*B159</f>
        <v>159000</v>
      </c>
      <c r="F159" s="5"/>
    </row>
    <row r="160" spans="1:6" ht="14.5" x14ac:dyDescent="0.35">
      <c r="A160" s="5"/>
      <c r="B160" s="5"/>
      <c r="C160" s="5"/>
      <c r="D160" s="5"/>
      <c r="E160" s="52">
        <f t="shared" si="13"/>
        <v>0</v>
      </c>
      <c r="F160" s="5"/>
    </row>
    <row r="161" spans="1:6" ht="14.5" x14ac:dyDescent="0.35">
      <c r="A161" s="5"/>
      <c r="B161" s="5"/>
      <c r="C161" s="5"/>
      <c r="D161" s="5"/>
      <c r="E161" s="52">
        <f t="shared" si="13"/>
        <v>0</v>
      </c>
      <c r="F161" s="5"/>
    </row>
    <row r="162" spans="1:6" ht="14.5" x14ac:dyDescent="0.35">
      <c r="A162" s="5"/>
      <c r="B162" s="5"/>
      <c r="C162" s="5"/>
      <c r="D162" s="5"/>
      <c r="E162" s="52">
        <f t="shared" si="13"/>
        <v>0</v>
      </c>
      <c r="F162" s="5"/>
    </row>
    <row r="163" spans="1:6" ht="14.5" x14ac:dyDescent="0.35">
      <c r="A163" s="5"/>
      <c r="B163" s="5"/>
      <c r="C163" s="5"/>
      <c r="D163" s="5"/>
      <c r="E163" s="52">
        <f t="shared" si="13"/>
        <v>0</v>
      </c>
      <c r="F163" s="5"/>
    </row>
    <row r="164" spans="1:6" ht="14.5" x14ac:dyDescent="0.35">
      <c r="A164" s="5"/>
      <c r="B164" s="5"/>
      <c r="C164" s="5"/>
      <c r="D164" s="5"/>
      <c r="E164" s="52">
        <f t="shared" si="13"/>
        <v>0</v>
      </c>
      <c r="F164" s="5"/>
    </row>
    <row r="165" spans="1:6" ht="14.5" x14ac:dyDescent="0.35">
      <c r="A165" s="5"/>
      <c r="B165" s="5"/>
      <c r="C165" s="5"/>
      <c r="D165" s="5"/>
      <c r="E165" s="52">
        <f t="shared" si="13"/>
        <v>0</v>
      </c>
      <c r="F165" s="5"/>
    </row>
    <row r="166" spans="1:6" ht="14.5" x14ac:dyDescent="0.35">
      <c r="A166" s="5"/>
      <c r="B166" s="5"/>
      <c r="C166" s="5"/>
      <c r="D166" s="5"/>
      <c r="E166" s="52">
        <f t="shared" si="13"/>
        <v>0</v>
      </c>
      <c r="F166" s="5"/>
    </row>
    <row r="167" spans="1:6" ht="14.5" x14ac:dyDescent="0.35">
      <c r="A167" s="5"/>
      <c r="B167" s="5"/>
      <c r="C167" s="5"/>
      <c r="D167" s="5"/>
      <c r="E167" s="52">
        <f t="shared" si="13"/>
        <v>0</v>
      </c>
      <c r="F167" s="5"/>
    </row>
    <row r="168" spans="1:6" ht="14.5" x14ac:dyDescent="0.35">
      <c r="A168" s="5"/>
      <c r="B168" s="5"/>
      <c r="C168" s="5"/>
      <c r="D168" s="5"/>
      <c r="E168" s="5"/>
      <c r="F168" s="5"/>
    </row>
    <row r="169" spans="1:6" ht="14.5" x14ac:dyDescent="0.35">
      <c r="A169" s="1" t="s">
        <v>128</v>
      </c>
      <c r="B169" s="1"/>
      <c r="C169" s="1"/>
      <c r="D169" s="1"/>
      <c r="E169" s="1"/>
      <c r="F169" s="51">
        <f>SUM(E171:E179)</f>
        <v>189000</v>
      </c>
    </row>
    <row r="170" spans="1:6" ht="14.5" x14ac:dyDescent="0.35">
      <c r="A170" s="5"/>
      <c r="B170" s="5" t="s">
        <v>2</v>
      </c>
      <c r="C170" s="5"/>
      <c r="D170" s="5" t="s">
        <v>3</v>
      </c>
      <c r="E170" s="5" t="s">
        <v>4</v>
      </c>
      <c r="F170" s="5"/>
    </row>
    <row r="171" spans="1:6" ht="14.5" x14ac:dyDescent="0.35">
      <c r="A171" s="5" t="s">
        <v>128</v>
      </c>
      <c r="B171" s="52">
        <v>0.3</v>
      </c>
      <c r="C171" s="5" t="s">
        <v>62</v>
      </c>
      <c r="D171" s="52">
        <v>630000</v>
      </c>
      <c r="E171" s="52">
        <f t="shared" ref="E171:E179" si="14">D171*B171</f>
        <v>189000</v>
      </c>
      <c r="F171" s="5"/>
    </row>
    <row r="172" spans="1:6" ht="14.5" x14ac:dyDescent="0.35">
      <c r="A172" s="5"/>
      <c r="B172" s="5"/>
      <c r="C172" s="5"/>
      <c r="D172" s="5"/>
      <c r="E172" s="52">
        <f t="shared" si="14"/>
        <v>0</v>
      </c>
      <c r="F172" s="5"/>
    </row>
    <row r="173" spans="1:6" ht="14.5" x14ac:dyDescent="0.35">
      <c r="A173" s="5"/>
      <c r="B173" s="5"/>
      <c r="C173" s="5"/>
      <c r="D173" s="5"/>
      <c r="E173" s="52">
        <f t="shared" si="14"/>
        <v>0</v>
      </c>
      <c r="F173" s="5"/>
    </row>
    <row r="174" spans="1:6" ht="14.5" x14ac:dyDescent="0.35">
      <c r="A174" s="5"/>
      <c r="B174" s="5"/>
      <c r="C174" s="5"/>
      <c r="D174" s="5"/>
      <c r="E174" s="52">
        <f t="shared" si="14"/>
        <v>0</v>
      </c>
      <c r="F174" s="5"/>
    </row>
    <row r="175" spans="1:6" ht="14.5" x14ac:dyDescent="0.35">
      <c r="A175" s="5"/>
      <c r="B175" s="5"/>
      <c r="C175" s="5"/>
      <c r="D175" s="5"/>
      <c r="E175" s="52">
        <f t="shared" si="14"/>
        <v>0</v>
      </c>
      <c r="F175" s="5"/>
    </row>
    <row r="176" spans="1:6" ht="14.5" x14ac:dyDescent="0.35">
      <c r="A176" s="5"/>
      <c r="B176" s="5"/>
      <c r="C176" s="5"/>
      <c r="D176" s="5"/>
      <c r="E176" s="52">
        <f t="shared" si="14"/>
        <v>0</v>
      </c>
      <c r="F176" s="5"/>
    </row>
    <row r="177" spans="1:6" ht="14.5" x14ac:dyDescent="0.35">
      <c r="A177" s="5"/>
      <c r="B177" s="5"/>
      <c r="C177" s="5"/>
      <c r="D177" s="5"/>
      <c r="E177" s="52">
        <f t="shared" si="14"/>
        <v>0</v>
      </c>
      <c r="F177" s="5"/>
    </row>
    <row r="178" spans="1:6" ht="14.5" x14ac:dyDescent="0.35">
      <c r="A178" s="5"/>
      <c r="B178" s="5"/>
      <c r="C178" s="5"/>
      <c r="D178" s="5"/>
      <c r="E178" s="52">
        <f t="shared" si="14"/>
        <v>0</v>
      </c>
      <c r="F178" s="5"/>
    </row>
    <row r="179" spans="1:6" ht="14.5" x14ac:dyDescent="0.35">
      <c r="A179" s="5"/>
      <c r="B179" s="5"/>
      <c r="C179" s="5"/>
      <c r="D179" s="5"/>
      <c r="E179" s="52">
        <f t="shared" si="14"/>
        <v>0</v>
      </c>
      <c r="F179" s="5"/>
    </row>
    <row r="180" spans="1:6" ht="14.5" x14ac:dyDescent="0.35">
      <c r="A180" s="5"/>
      <c r="B180" s="5"/>
      <c r="C180" s="5"/>
      <c r="D180" s="5"/>
      <c r="E180" s="5"/>
      <c r="F180" s="5"/>
    </row>
    <row r="181" spans="1:6" ht="14.5" x14ac:dyDescent="0.35">
      <c r="A181" s="1" t="s">
        <v>129</v>
      </c>
      <c r="B181" s="1"/>
      <c r="C181" s="1"/>
      <c r="D181" s="1"/>
      <c r="E181" s="1"/>
      <c r="F181" s="51">
        <f>SUM(E183:E191)</f>
        <v>10000</v>
      </c>
    </row>
    <row r="182" spans="1:6" ht="14.5" x14ac:dyDescent="0.35">
      <c r="A182" s="5"/>
      <c r="B182" s="5" t="s">
        <v>2</v>
      </c>
      <c r="C182" s="5"/>
      <c r="D182" s="5" t="s">
        <v>3</v>
      </c>
      <c r="E182" s="5" t="s">
        <v>4</v>
      </c>
      <c r="F182" s="5"/>
    </row>
    <row r="183" spans="1:6" ht="14.5" x14ac:dyDescent="0.35">
      <c r="A183" s="39" t="s">
        <v>129</v>
      </c>
      <c r="B183" s="53">
        <v>1</v>
      </c>
      <c r="C183" s="39" t="s">
        <v>130</v>
      </c>
      <c r="D183" s="53">
        <v>10000</v>
      </c>
      <c r="E183" s="52">
        <f t="shared" ref="E183:E191" si="15">D183*B183</f>
        <v>10000</v>
      </c>
      <c r="F183" s="5"/>
    </row>
    <row r="184" spans="1:6" ht="14.5" x14ac:dyDescent="0.35">
      <c r="A184" s="5"/>
      <c r="B184" s="5"/>
      <c r="C184" s="5" t="s">
        <v>90</v>
      </c>
      <c r="D184" s="5"/>
      <c r="E184" s="52">
        <f t="shared" si="15"/>
        <v>0</v>
      </c>
      <c r="F184" s="5"/>
    </row>
    <row r="185" spans="1:6" ht="14.5" x14ac:dyDescent="0.35">
      <c r="A185" s="5"/>
      <c r="B185" s="5"/>
      <c r="C185" s="5" t="s">
        <v>90</v>
      </c>
      <c r="D185" s="5"/>
      <c r="E185" s="52">
        <f t="shared" si="15"/>
        <v>0</v>
      </c>
      <c r="F185" s="5"/>
    </row>
    <row r="186" spans="1:6" ht="14.5" x14ac:dyDescent="0.35">
      <c r="A186" s="5"/>
      <c r="B186" s="5"/>
      <c r="C186" s="5" t="s">
        <v>90</v>
      </c>
      <c r="D186" s="5"/>
      <c r="E186" s="52">
        <f t="shared" si="15"/>
        <v>0</v>
      </c>
      <c r="F186" s="5"/>
    </row>
    <row r="187" spans="1:6" ht="14.5" x14ac:dyDescent="0.35">
      <c r="A187" s="5"/>
      <c r="B187" s="5"/>
      <c r="C187" s="5" t="s">
        <v>90</v>
      </c>
      <c r="D187" s="5"/>
      <c r="E187" s="52">
        <f t="shared" si="15"/>
        <v>0</v>
      </c>
      <c r="F187" s="5"/>
    </row>
    <row r="188" spans="1:6" ht="14.5" x14ac:dyDescent="0.35">
      <c r="A188" s="5"/>
      <c r="B188" s="5"/>
      <c r="C188" s="5" t="s">
        <v>90</v>
      </c>
      <c r="D188" s="5"/>
      <c r="E188" s="52">
        <f t="shared" si="15"/>
        <v>0</v>
      </c>
      <c r="F188" s="5"/>
    </row>
    <row r="189" spans="1:6" ht="14.5" x14ac:dyDescent="0.35">
      <c r="A189" s="5"/>
      <c r="B189" s="5"/>
      <c r="C189" s="5" t="s">
        <v>90</v>
      </c>
      <c r="D189" s="5"/>
      <c r="E189" s="52">
        <f t="shared" si="15"/>
        <v>0</v>
      </c>
      <c r="F189" s="5"/>
    </row>
    <row r="190" spans="1:6" ht="14.5" x14ac:dyDescent="0.35">
      <c r="A190" s="5"/>
      <c r="B190" s="5"/>
      <c r="C190" s="5" t="s">
        <v>90</v>
      </c>
      <c r="D190" s="5"/>
      <c r="E190" s="52">
        <f t="shared" si="15"/>
        <v>0</v>
      </c>
      <c r="F190" s="5"/>
    </row>
    <row r="191" spans="1:6" ht="14.5" x14ac:dyDescent="0.35">
      <c r="A191" s="5"/>
      <c r="B191" s="5"/>
      <c r="C191" s="5" t="s">
        <v>90</v>
      </c>
      <c r="D191" s="5"/>
      <c r="E191" s="52">
        <f t="shared" si="15"/>
        <v>0</v>
      </c>
      <c r="F191" s="5"/>
    </row>
    <row r="192" spans="1:6" ht="14.5" x14ac:dyDescent="0.35">
      <c r="A192" s="5"/>
      <c r="B192" s="5"/>
      <c r="C192" s="5"/>
      <c r="D192" s="5"/>
      <c r="E192" s="5"/>
      <c r="F192" s="5"/>
    </row>
    <row r="193" spans="1:6" ht="14.5" x14ac:dyDescent="0.35">
      <c r="A193" s="1" t="s">
        <v>131</v>
      </c>
      <c r="B193" s="1"/>
      <c r="C193" s="1"/>
      <c r="D193" s="1"/>
      <c r="E193" s="1"/>
      <c r="F193" s="51">
        <f>SUM(E195:E203)</f>
        <v>7650</v>
      </c>
    </row>
    <row r="194" spans="1:6" ht="14.5" x14ac:dyDescent="0.35">
      <c r="A194" s="5"/>
      <c r="B194" s="5" t="s">
        <v>2</v>
      </c>
      <c r="C194" s="5"/>
      <c r="D194" s="5" t="s">
        <v>3</v>
      </c>
      <c r="E194" s="5" t="s">
        <v>4</v>
      </c>
      <c r="F194" s="5"/>
    </row>
    <row r="195" spans="1:6" ht="14.5" x14ac:dyDescent="0.35">
      <c r="A195" s="5" t="s">
        <v>131</v>
      </c>
      <c r="B195" s="52">
        <v>1</v>
      </c>
      <c r="C195" s="5" t="s">
        <v>7</v>
      </c>
      <c r="D195" s="53">
        <v>7650</v>
      </c>
      <c r="E195" s="52">
        <f t="shared" ref="E195:E203" si="16">D195*B195</f>
        <v>7650</v>
      </c>
      <c r="F195" s="5"/>
    </row>
    <row r="196" spans="1:6" ht="14.5" x14ac:dyDescent="0.35">
      <c r="A196" s="5"/>
      <c r="B196" s="5"/>
      <c r="C196" s="5"/>
      <c r="D196" s="5"/>
      <c r="E196" s="52">
        <f t="shared" si="16"/>
        <v>0</v>
      </c>
      <c r="F196" s="5"/>
    </row>
    <row r="197" spans="1:6" ht="14.5" x14ac:dyDescent="0.35">
      <c r="A197" s="5"/>
      <c r="B197" s="5"/>
      <c r="C197" s="5"/>
      <c r="D197" s="5"/>
      <c r="E197" s="52">
        <f t="shared" si="16"/>
        <v>0</v>
      </c>
      <c r="F197" s="5"/>
    </row>
    <row r="198" spans="1:6" ht="14.5" x14ac:dyDescent="0.35">
      <c r="A198" s="5"/>
      <c r="B198" s="5"/>
      <c r="C198" s="5"/>
      <c r="D198" s="5"/>
      <c r="E198" s="52">
        <f t="shared" si="16"/>
        <v>0</v>
      </c>
      <c r="F198" s="5"/>
    </row>
    <row r="199" spans="1:6" ht="14.5" x14ac:dyDescent="0.35">
      <c r="A199" s="5"/>
      <c r="B199" s="5"/>
      <c r="C199" s="5"/>
      <c r="D199" s="5"/>
      <c r="E199" s="52">
        <f t="shared" si="16"/>
        <v>0</v>
      </c>
      <c r="F199" s="5"/>
    </row>
    <row r="200" spans="1:6" ht="14.5" x14ac:dyDescent="0.35">
      <c r="A200" s="5"/>
      <c r="B200" s="5"/>
      <c r="C200" s="5"/>
      <c r="D200" s="5"/>
      <c r="E200" s="52">
        <f t="shared" si="16"/>
        <v>0</v>
      </c>
      <c r="F200" s="5"/>
    </row>
    <row r="201" spans="1:6" ht="14.5" x14ac:dyDescent="0.35">
      <c r="A201" s="5"/>
      <c r="B201" s="5"/>
      <c r="C201" s="5"/>
      <c r="D201" s="5"/>
      <c r="E201" s="52">
        <f t="shared" si="16"/>
        <v>0</v>
      </c>
      <c r="F201" s="5"/>
    </row>
    <row r="202" spans="1:6" ht="14.5" x14ac:dyDescent="0.35">
      <c r="A202" s="5"/>
      <c r="B202" s="5"/>
      <c r="C202" s="5"/>
      <c r="D202" s="5"/>
      <c r="E202" s="52">
        <f t="shared" si="16"/>
        <v>0</v>
      </c>
      <c r="F202" s="5"/>
    </row>
    <row r="203" spans="1:6" ht="14.5" x14ac:dyDescent="0.35">
      <c r="A203" s="5"/>
      <c r="B203" s="5"/>
      <c r="C203" s="5"/>
      <c r="D203" s="5"/>
      <c r="E203" s="52">
        <f t="shared" si="16"/>
        <v>0</v>
      </c>
      <c r="F203" s="5"/>
    </row>
    <row r="204" spans="1:6" ht="14.5" x14ac:dyDescent="0.35">
      <c r="A204" s="5"/>
      <c r="B204" s="5"/>
      <c r="C204" s="5"/>
      <c r="D204" s="5"/>
      <c r="E204" s="5"/>
      <c r="F204" s="5"/>
    </row>
    <row r="205" spans="1:6" ht="14.5" x14ac:dyDescent="0.35">
      <c r="A205" s="51" t="s">
        <v>132</v>
      </c>
      <c r="B205" s="1"/>
      <c r="C205" s="1"/>
      <c r="D205" s="1"/>
      <c r="E205" s="1"/>
      <c r="F205" s="51">
        <f>SUM(E207:E215)</f>
        <v>50000</v>
      </c>
    </row>
    <row r="206" spans="1:6" ht="14.5" x14ac:dyDescent="0.35">
      <c r="A206" s="5"/>
      <c r="B206" s="5" t="s">
        <v>2</v>
      </c>
      <c r="C206" s="5"/>
      <c r="D206" s="5" t="s">
        <v>3</v>
      </c>
      <c r="E206" s="5" t="s">
        <v>4</v>
      </c>
      <c r="F206" s="5"/>
    </row>
    <row r="207" spans="1:6" ht="14.5" x14ac:dyDescent="0.35">
      <c r="A207" s="39" t="s">
        <v>132</v>
      </c>
      <c r="B207" s="53">
        <v>1</v>
      </c>
      <c r="C207" s="39" t="s">
        <v>133</v>
      </c>
      <c r="D207" s="53">
        <v>50000</v>
      </c>
      <c r="E207" s="52">
        <f t="shared" ref="E207:E215" si="17">D207*B207</f>
        <v>50000</v>
      </c>
      <c r="F207" s="5"/>
    </row>
    <row r="208" spans="1:6" ht="14.5" x14ac:dyDescent="0.35">
      <c r="A208" s="5"/>
      <c r="B208" s="5"/>
      <c r="C208" s="5" t="s">
        <v>90</v>
      </c>
      <c r="D208" s="5"/>
      <c r="E208" s="52">
        <f t="shared" si="17"/>
        <v>0</v>
      </c>
      <c r="F208" s="5"/>
    </row>
    <row r="209" spans="1:6" ht="14.5" x14ac:dyDescent="0.35">
      <c r="A209" s="5"/>
      <c r="B209" s="5"/>
      <c r="C209" s="5" t="s">
        <v>90</v>
      </c>
      <c r="D209" s="5"/>
      <c r="E209" s="52">
        <f t="shared" si="17"/>
        <v>0</v>
      </c>
      <c r="F209" s="5"/>
    </row>
    <row r="210" spans="1:6" ht="14.5" x14ac:dyDescent="0.35">
      <c r="A210" s="5"/>
      <c r="B210" s="5"/>
      <c r="C210" s="5" t="s">
        <v>90</v>
      </c>
      <c r="D210" s="5"/>
      <c r="E210" s="52">
        <f t="shared" si="17"/>
        <v>0</v>
      </c>
      <c r="F210" s="5"/>
    </row>
    <row r="211" spans="1:6" ht="14.5" x14ac:dyDescent="0.35">
      <c r="A211" s="5"/>
      <c r="B211" s="5"/>
      <c r="C211" s="5" t="s">
        <v>90</v>
      </c>
      <c r="D211" s="5"/>
      <c r="E211" s="52">
        <f t="shared" si="17"/>
        <v>0</v>
      </c>
      <c r="F211" s="5"/>
    </row>
    <row r="212" spans="1:6" ht="14.5" x14ac:dyDescent="0.35">
      <c r="A212" s="5"/>
      <c r="B212" s="5"/>
      <c r="C212" s="5" t="s">
        <v>90</v>
      </c>
      <c r="D212" s="5"/>
      <c r="E212" s="52">
        <f t="shared" si="17"/>
        <v>0</v>
      </c>
      <c r="F212" s="5"/>
    </row>
    <row r="213" spans="1:6" ht="14.5" x14ac:dyDescent="0.35">
      <c r="A213" s="5"/>
      <c r="B213" s="5"/>
      <c r="C213" s="5" t="s">
        <v>90</v>
      </c>
      <c r="D213" s="5"/>
      <c r="E213" s="52">
        <f t="shared" si="17"/>
        <v>0</v>
      </c>
      <c r="F213" s="5"/>
    </row>
    <row r="214" spans="1:6" ht="14.5" x14ac:dyDescent="0.35">
      <c r="A214" s="5"/>
      <c r="B214" s="5"/>
      <c r="C214" s="5" t="s">
        <v>90</v>
      </c>
      <c r="D214" s="5"/>
      <c r="E214" s="52">
        <f t="shared" si="17"/>
        <v>0</v>
      </c>
      <c r="F214" s="5"/>
    </row>
    <row r="215" spans="1:6" ht="14.5" x14ac:dyDescent="0.35">
      <c r="A215" s="5"/>
      <c r="B215" s="5"/>
      <c r="C215" s="5" t="s">
        <v>90</v>
      </c>
      <c r="D215" s="5"/>
      <c r="E215" s="52">
        <f t="shared" si="17"/>
        <v>0</v>
      </c>
      <c r="F215" s="5"/>
    </row>
    <row r="216" spans="1:6" ht="14.5" x14ac:dyDescent="0.35">
      <c r="A216" s="5"/>
      <c r="B216" s="5"/>
      <c r="C216" s="5"/>
      <c r="D216" s="5"/>
      <c r="E216" s="5"/>
      <c r="F216" s="5"/>
    </row>
    <row r="217" spans="1:6" ht="14.5" x14ac:dyDescent="0.35">
      <c r="A217" s="1" t="s">
        <v>134</v>
      </c>
      <c r="B217" s="1"/>
      <c r="C217" s="1"/>
      <c r="D217" s="1"/>
      <c r="E217" s="1"/>
      <c r="F217" s="51">
        <f>SUM(E219:E227)</f>
        <v>485000</v>
      </c>
    </row>
    <row r="218" spans="1:6" ht="14.5" x14ac:dyDescent="0.35">
      <c r="A218" s="5"/>
      <c r="B218" s="5" t="s">
        <v>2</v>
      </c>
      <c r="C218" s="5"/>
      <c r="D218" s="5" t="s">
        <v>3</v>
      </c>
      <c r="E218" s="5" t="s">
        <v>4</v>
      </c>
      <c r="F218" s="5"/>
    </row>
    <row r="219" spans="1:6" ht="14.5" x14ac:dyDescent="0.35">
      <c r="A219" s="39" t="s">
        <v>135</v>
      </c>
      <c r="B219" s="53">
        <v>1</v>
      </c>
      <c r="C219" s="39" t="s">
        <v>136</v>
      </c>
      <c r="D219" s="53">
        <v>135000</v>
      </c>
      <c r="E219" s="52">
        <f t="shared" ref="E219:E227" si="18">D219*B219</f>
        <v>135000</v>
      </c>
      <c r="F219" s="5"/>
    </row>
    <row r="220" spans="1:6" ht="14.5" x14ac:dyDescent="0.35">
      <c r="A220" s="39" t="s">
        <v>137</v>
      </c>
      <c r="B220" s="53">
        <v>1</v>
      </c>
      <c r="C220" s="39" t="s">
        <v>136</v>
      </c>
      <c r="D220" s="53">
        <v>350000</v>
      </c>
      <c r="E220" s="52">
        <f t="shared" si="18"/>
        <v>350000</v>
      </c>
      <c r="F220" s="5"/>
    </row>
    <row r="221" spans="1:6" ht="14.5" x14ac:dyDescent="0.35">
      <c r="A221" s="5"/>
      <c r="B221" s="5"/>
      <c r="C221" s="5"/>
      <c r="D221" s="5"/>
      <c r="E221" s="52">
        <f t="shared" si="18"/>
        <v>0</v>
      </c>
      <c r="F221" s="5"/>
    </row>
    <row r="222" spans="1:6" ht="14.5" x14ac:dyDescent="0.35">
      <c r="A222" s="5"/>
      <c r="B222" s="5"/>
      <c r="C222" s="5"/>
      <c r="D222" s="5"/>
      <c r="E222" s="52">
        <f t="shared" si="18"/>
        <v>0</v>
      </c>
      <c r="F222" s="5"/>
    </row>
    <row r="223" spans="1:6" ht="14.5" x14ac:dyDescent="0.35">
      <c r="A223" s="5"/>
      <c r="B223" s="5"/>
      <c r="C223" s="5"/>
      <c r="D223" s="5"/>
      <c r="E223" s="52">
        <f t="shared" si="18"/>
        <v>0</v>
      </c>
      <c r="F223" s="5"/>
    </row>
    <row r="224" spans="1:6" ht="14.5" x14ac:dyDescent="0.35">
      <c r="A224" s="5"/>
      <c r="B224" s="5"/>
      <c r="C224" s="5"/>
      <c r="D224" s="5"/>
      <c r="E224" s="52">
        <f t="shared" si="18"/>
        <v>0</v>
      </c>
      <c r="F224" s="5"/>
    </row>
    <row r="225" spans="1:6" ht="14.5" x14ac:dyDescent="0.35">
      <c r="A225" s="5"/>
      <c r="B225" s="5"/>
      <c r="C225" s="5"/>
      <c r="D225" s="5"/>
      <c r="E225" s="52">
        <f t="shared" si="18"/>
        <v>0</v>
      </c>
      <c r="F225" s="5"/>
    </row>
    <row r="226" spans="1:6" ht="14.5" x14ac:dyDescent="0.35">
      <c r="A226" s="5"/>
      <c r="B226" s="5"/>
      <c r="C226" s="5"/>
      <c r="D226" s="5"/>
      <c r="E226" s="52">
        <f t="shared" si="18"/>
        <v>0</v>
      </c>
      <c r="F226" s="5"/>
    </row>
    <row r="227" spans="1:6" ht="14.5" x14ac:dyDescent="0.35">
      <c r="A227" s="5"/>
      <c r="B227" s="5"/>
      <c r="C227" s="5"/>
      <c r="D227" s="5"/>
      <c r="E227" s="52">
        <f t="shared" si="18"/>
        <v>0</v>
      </c>
      <c r="F227" s="5"/>
    </row>
    <row r="228" spans="1:6" ht="14.5" x14ac:dyDescent="0.35">
      <c r="A228" s="5"/>
      <c r="B228" s="5"/>
      <c r="C228" s="5"/>
      <c r="D228" s="5"/>
      <c r="E228" s="5"/>
      <c r="F228" s="5"/>
    </row>
    <row r="229" spans="1:6" ht="14.5" x14ac:dyDescent="0.35">
      <c r="A229" s="1" t="s">
        <v>138</v>
      </c>
      <c r="B229" s="1"/>
      <c r="C229" s="1"/>
      <c r="D229" s="1"/>
      <c r="E229" s="1"/>
      <c r="F229" s="51">
        <f>SUM(E231:E239)</f>
        <v>610000</v>
      </c>
    </row>
    <row r="230" spans="1:6" ht="14.5" x14ac:dyDescent="0.35">
      <c r="A230" s="5"/>
      <c r="B230" s="5" t="s">
        <v>2</v>
      </c>
      <c r="C230" s="5"/>
      <c r="D230" s="5" t="s">
        <v>3</v>
      </c>
      <c r="E230" s="5" t="s">
        <v>4</v>
      </c>
      <c r="F230" s="5"/>
    </row>
    <row r="231" spans="1:6" ht="14.5" x14ac:dyDescent="0.35">
      <c r="A231" s="39" t="s">
        <v>139</v>
      </c>
      <c r="B231" s="53">
        <v>1</v>
      </c>
      <c r="C231" s="39" t="s">
        <v>140</v>
      </c>
      <c r="D231" s="53">
        <v>610000</v>
      </c>
      <c r="E231" s="52">
        <f t="shared" ref="E231:E239" si="19">D231*B231</f>
        <v>610000</v>
      </c>
      <c r="F231" s="5"/>
    </row>
    <row r="232" spans="1:6" ht="14.5" x14ac:dyDescent="0.35">
      <c r="A232" s="5"/>
      <c r="B232" s="5"/>
      <c r="C232" s="5"/>
      <c r="D232" s="5"/>
      <c r="E232" s="52">
        <f t="shared" si="19"/>
        <v>0</v>
      </c>
      <c r="F232" s="5"/>
    </row>
    <row r="233" spans="1:6" ht="14.5" x14ac:dyDescent="0.35">
      <c r="A233" s="5"/>
      <c r="B233" s="5"/>
      <c r="C233" s="5"/>
      <c r="D233" s="5"/>
      <c r="E233" s="52">
        <f t="shared" si="19"/>
        <v>0</v>
      </c>
      <c r="F233" s="5"/>
    </row>
    <row r="234" spans="1:6" ht="14.5" x14ac:dyDescent="0.35">
      <c r="A234" s="5"/>
      <c r="B234" s="5"/>
      <c r="C234" s="5"/>
      <c r="D234" s="5"/>
      <c r="E234" s="52">
        <f t="shared" si="19"/>
        <v>0</v>
      </c>
      <c r="F234" s="5"/>
    </row>
    <row r="235" spans="1:6" ht="14.5" x14ac:dyDescent="0.35">
      <c r="A235" s="5"/>
      <c r="B235" s="5"/>
      <c r="C235" s="5"/>
      <c r="D235" s="5"/>
      <c r="E235" s="52">
        <f t="shared" si="19"/>
        <v>0</v>
      </c>
      <c r="F235" s="5"/>
    </row>
    <row r="236" spans="1:6" ht="14.5" x14ac:dyDescent="0.35">
      <c r="A236" s="5"/>
      <c r="B236" s="5"/>
      <c r="C236" s="5"/>
      <c r="D236" s="5"/>
      <c r="E236" s="52">
        <f t="shared" si="19"/>
        <v>0</v>
      </c>
      <c r="F236" s="5"/>
    </row>
    <row r="237" spans="1:6" ht="14.5" x14ac:dyDescent="0.35">
      <c r="A237" s="5"/>
      <c r="B237" s="5"/>
      <c r="C237" s="5"/>
      <c r="D237" s="5"/>
      <c r="E237" s="52">
        <f t="shared" si="19"/>
        <v>0</v>
      </c>
      <c r="F237" s="5"/>
    </row>
    <row r="238" spans="1:6" ht="14.5" x14ac:dyDescent="0.35">
      <c r="A238" s="5"/>
      <c r="B238" s="5"/>
      <c r="C238" s="5"/>
      <c r="D238" s="5"/>
      <c r="E238" s="52">
        <f t="shared" si="19"/>
        <v>0</v>
      </c>
      <c r="F238" s="5"/>
    </row>
    <row r="239" spans="1:6" ht="14.5" x14ac:dyDescent="0.35">
      <c r="A239" s="5"/>
      <c r="B239" s="5"/>
      <c r="C239" s="5"/>
      <c r="D239" s="5"/>
      <c r="E239" s="52">
        <f t="shared" si="19"/>
        <v>0</v>
      </c>
      <c r="F239" s="5"/>
    </row>
    <row r="240" spans="1:6" ht="14.5" x14ac:dyDescent="0.35">
      <c r="A240" s="5"/>
      <c r="B240" s="5"/>
      <c r="C240" s="5"/>
      <c r="D240" s="5"/>
      <c r="E240" s="5"/>
      <c r="F240" s="5"/>
    </row>
    <row r="241" spans="1:6" ht="14.5" x14ac:dyDescent="0.35">
      <c r="A241" s="1" t="s">
        <v>141</v>
      </c>
      <c r="B241" s="1"/>
      <c r="C241" s="1"/>
      <c r="D241" s="1"/>
      <c r="E241" s="1"/>
      <c r="F241" s="51">
        <f>SUM(E243:E251)</f>
        <v>142500</v>
      </c>
    </row>
    <row r="242" spans="1:6" ht="14.5" x14ac:dyDescent="0.35">
      <c r="A242" s="5"/>
      <c r="B242" s="5" t="s">
        <v>2</v>
      </c>
      <c r="C242" s="5"/>
      <c r="D242" s="5" t="s">
        <v>3</v>
      </c>
      <c r="E242" s="5" t="s">
        <v>4</v>
      </c>
      <c r="F242" s="5"/>
    </row>
    <row r="243" spans="1:6" ht="14.5" x14ac:dyDescent="0.35">
      <c r="A243" s="5" t="s">
        <v>141</v>
      </c>
      <c r="B243" s="52">
        <v>0.3</v>
      </c>
      <c r="C243" s="5" t="s">
        <v>140</v>
      </c>
      <c r="D243" s="52">
        <v>475000</v>
      </c>
      <c r="E243" s="52">
        <f t="shared" ref="E243:E251" si="20">D243*B243</f>
        <v>142500</v>
      </c>
      <c r="F243" s="5"/>
    </row>
    <row r="244" spans="1:6" ht="14.5" x14ac:dyDescent="0.35">
      <c r="A244" s="5"/>
      <c r="B244" s="5"/>
      <c r="C244" s="5" t="s">
        <v>90</v>
      </c>
      <c r="D244" s="5"/>
      <c r="E244" s="52">
        <f t="shared" si="20"/>
        <v>0</v>
      </c>
      <c r="F244" s="5"/>
    </row>
    <row r="245" spans="1:6" ht="14.5" x14ac:dyDescent="0.35">
      <c r="A245" s="5"/>
      <c r="B245" s="5"/>
      <c r="C245" s="5" t="s">
        <v>90</v>
      </c>
      <c r="D245" s="5"/>
      <c r="E245" s="52">
        <f t="shared" si="20"/>
        <v>0</v>
      </c>
      <c r="F245" s="5"/>
    </row>
    <row r="246" spans="1:6" ht="14.5" x14ac:dyDescent="0.35">
      <c r="A246" s="5"/>
      <c r="B246" s="5"/>
      <c r="C246" s="5" t="s">
        <v>90</v>
      </c>
      <c r="D246" s="5"/>
      <c r="E246" s="52">
        <f t="shared" si="20"/>
        <v>0</v>
      </c>
      <c r="F246" s="5"/>
    </row>
    <row r="247" spans="1:6" ht="14.5" x14ac:dyDescent="0.35">
      <c r="A247" s="5"/>
      <c r="B247" s="5"/>
      <c r="C247" s="5" t="s">
        <v>90</v>
      </c>
      <c r="D247" s="5"/>
      <c r="E247" s="52">
        <f t="shared" si="20"/>
        <v>0</v>
      </c>
      <c r="F247" s="5"/>
    </row>
    <row r="248" spans="1:6" ht="14.5" x14ac:dyDescent="0.35">
      <c r="A248" s="5"/>
      <c r="B248" s="5"/>
      <c r="C248" s="5" t="s">
        <v>90</v>
      </c>
      <c r="D248" s="5"/>
      <c r="E248" s="52">
        <f t="shared" si="20"/>
        <v>0</v>
      </c>
      <c r="F248" s="5"/>
    </row>
    <row r="249" spans="1:6" ht="14.5" x14ac:dyDescent="0.35">
      <c r="A249" s="5"/>
      <c r="B249" s="5"/>
      <c r="C249" s="5" t="s">
        <v>90</v>
      </c>
      <c r="D249" s="5"/>
      <c r="E249" s="52">
        <f t="shared" si="20"/>
        <v>0</v>
      </c>
      <c r="F249" s="5"/>
    </row>
    <row r="250" spans="1:6" ht="14.5" x14ac:dyDescent="0.35">
      <c r="A250" s="5"/>
      <c r="B250" s="5"/>
      <c r="C250" s="5" t="s">
        <v>90</v>
      </c>
      <c r="D250" s="5"/>
      <c r="E250" s="52">
        <f t="shared" si="20"/>
        <v>0</v>
      </c>
      <c r="F250" s="5"/>
    </row>
    <row r="251" spans="1:6" ht="14.5" x14ac:dyDescent="0.35">
      <c r="A251" s="5"/>
      <c r="B251" s="5"/>
      <c r="C251" s="5" t="s">
        <v>90</v>
      </c>
      <c r="D251" s="5"/>
      <c r="E251" s="52">
        <f t="shared" si="20"/>
        <v>0</v>
      </c>
      <c r="F251" s="5"/>
    </row>
    <row r="252" spans="1:6" ht="14.5" x14ac:dyDescent="0.35">
      <c r="A252" s="5"/>
      <c r="B252" s="5"/>
      <c r="C252" s="5"/>
      <c r="D252" s="5"/>
      <c r="E252" s="5"/>
      <c r="F252" s="5"/>
    </row>
    <row r="253" spans="1:6" ht="14.5" x14ac:dyDescent="0.35">
      <c r="A253" s="1" t="s">
        <v>122</v>
      </c>
      <c r="B253" s="1"/>
      <c r="C253" s="1"/>
      <c r="D253" s="1"/>
      <c r="E253" s="1"/>
      <c r="F253" s="51">
        <f>SUM(E255:E263)</f>
        <v>0</v>
      </c>
    </row>
    <row r="254" spans="1:6" ht="14.5" x14ac:dyDescent="0.35">
      <c r="A254" s="5"/>
      <c r="B254" s="5" t="s">
        <v>2</v>
      </c>
      <c r="C254" s="5"/>
      <c r="D254" s="5" t="s">
        <v>3</v>
      </c>
      <c r="E254" s="5" t="s">
        <v>4</v>
      </c>
      <c r="F254" s="5"/>
    </row>
    <row r="255" spans="1:6" ht="14.5" x14ac:dyDescent="0.35">
      <c r="A255" s="5"/>
      <c r="B255" s="5"/>
      <c r="C255" s="5" t="s">
        <v>90</v>
      </c>
      <c r="D255" s="5"/>
      <c r="E255" s="52">
        <f t="shared" ref="E255:E263" si="21">D255*B255</f>
        <v>0</v>
      </c>
      <c r="F255" s="5"/>
    </row>
    <row r="256" spans="1:6" ht="14.5" x14ac:dyDescent="0.35">
      <c r="A256" s="5"/>
      <c r="B256" s="5"/>
      <c r="C256" s="5" t="s">
        <v>90</v>
      </c>
      <c r="D256" s="5"/>
      <c r="E256" s="52">
        <f t="shared" si="21"/>
        <v>0</v>
      </c>
      <c r="F256" s="5"/>
    </row>
    <row r="257" spans="1:6" ht="14.5" x14ac:dyDescent="0.35">
      <c r="A257" s="5"/>
      <c r="B257" s="5"/>
      <c r="C257" s="5" t="s">
        <v>90</v>
      </c>
      <c r="D257" s="5"/>
      <c r="E257" s="52">
        <f t="shared" si="21"/>
        <v>0</v>
      </c>
      <c r="F257" s="5"/>
    </row>
    <row r="258" spans="1:6" ht="14.5" x14ac:dyDescent="0.35">
      <c r="A258" s="5"/>
      <c r="B258" s="5"/>
      <c r="C258" s="5" t="s">
        <v>90</v>
      </c>
      <c r="D258" s="5"/>
      <c r="E258" s="52">
        <f t="shared" si="21"/>
        <v>0</v>
      </c>
      <c r="F258" s="5"/>
    </row>
    <row r="259" spans="1:6" ht="14.5" x14ac:dyDescent="0.35">
      <c r="A259" s="5"/>
      <c r="B259" s="5"/>
      <c r="C259" s="5" t="s">
        <v>90</v>
      </c>
      <c r="D259" s="5"/>
      <c r="E259" s="52">
        <f t="shared" si="21"/>
        <v>0</v>
      </c>
      <c r="F259" s="5"/>
    </row>
    <row r="260" spans="1:6" ht="14.5" x14ac:dyDescent="0.35">
      <c r="A260" s="5"/>
      <c r="B260" s="5"/>
      <c r="C260" s="5" t="s">
        <v>90</v>
      </c>
      <c r="D260" s="5"/>
      <c r="E260" s="52">
        <f t="shared" si="21"/>
        <v>0</v>
      </c>
      <c r="F260" s="5"/>
    </row>
    <row r="261" spans="1:6" ht="14.5" x14ac:dyDescent="0.35">
      <c r="A261" s="5"/>
      <c r="B261" s="5"/>
      <c r="C261" s="5" t="s">
        <v>90</v>
      </c>
      <c r="D261" s="5"/>
      <c r="E261" s="52">
        <f t="shared" si="21"/>
        <v>0</v>
      </c>
      <c r="F261" s="5"/>
    </row>
    <row r="262" spans="1:6" ht="14.5" x14ac:dyDescent="0.35">
      <c r="A262" s="5"/>
      <c r="B262" s="5"/>
      <c r="C262" s="5" t="s">
        <v>90</v>
      </c>
      <c r="D262" s="5"/>
      <c r="E262" s="52">
        <f t="shared" si="21"/>
        <v>0</v>
      </c>
      <c r="F262" s="5"/>
    </row>
    <row r="263" spans="1:6" ht="14.5" x14ac:dyDescent="0.35">
      <c r="A263" s="5"/>
      <c r="B263" s="5"/>
      <c r="C263" s="5" t="s">
        <v>90</v>
      </c>
      <c r="D263" s="5"/>
      <c r="E263" s="52">
        <f t="shared" si="21"/>
        <v>0</v>
      </c>
      <c r="F263" s="5"/>
    </row>
    <row r="264" spans="1:6" ht="14.5" x14ac:dyDescent="0.35">
      <c r="A264" s="5"/>
      <c r="B264" s="5"/>
      <c r="C264" s="5"/>
      <c r="D264" s="5"/>
      <c r="E264" s="5"/>
      <c r="F264" s="5"/>
    </row>
    <row r="265" spans="1:6" ht="14.5" x14ac:dyDescent="0.35">
      <c r="A265" s="1" t="s">
        <v>122</v>
      </c>
      <c r="B265" s="1"/>
      <c r="C265" s="1"/>
      <c r="D265" s="1"/>
      <c r="E265" s="1"/>
      <c r="F265" s="51">
        <f>SUM(E267:E275)</f>
        <v>0</v>
      </c>
    </row>
    <row r="266" spans="1:6" ht="14.5" x14ac:dyDescent="0.35">
      <c r="A266" s="5"/>
      <c r="B266" s="5" t="s">
        <v>2</v>
      </c>
      <c r="C266" s="5"/>
      <c r="D266" s="5" t="s">
        <v>3</v>
      </c>
      <c r="E266" s="5" t="s">
        <v>4</v>
      </c>
      <c r="F266" s="5"/>
    </row>
    <row r="267" spans="1:6" ht="14.5" x14ac:dyDescent="0.35">
      <c r="A267" s="5"/>
      <c r="B267" s="5"/>
      <c r="C267" s="5" t="s">
        <v>90</v>
      </c>
      <c r="D267" s="5"/>
      <c r="E267" s="52">
        <f t="shared" ref="E267:E275" si="22">D267*B267</f>
        <v>0</v>
      </c>
      <c r="F267" s="5"/>
    </row>
    <row r="268" spans="1:6" ht="14.5" x14ac:dyDescent="0.35">
      <c r="A268" s="5"/>
      <c r="B268" s="5"/>
      <c r="C268" s="5" t="s">
        <v>90</v>
      </c>
      <c r="D268" s="5"/>
      <c r="E268" s="52">
        <f t="shared" si="22"/>
        <v>0</v>
      </c>
      <c r="F268" s="5"/>
    </row>
    <row r="269" spans="1:6" ht="14.5" x14ac:dyDescent="0.35">
      <c r="A269" s="5"/>
      <c r="B269" s="5"/>
      <c r="C269" s="5" t="s">
        <v>90</v>
      </c>
      <c r="D269" s="5"/>
      <c r="E269" s="52">
        <f t="shared" si="22"/>
        <v>0</v>
      </c>
      <c r="F269" s="5"/>
    </row>
    <row r="270" spans="1:6" ht="14.5" x14ac:dyDescent="0.35">
      <c r="A270" s="5"/>
      <c r="B270" s="5"/>
      <c r="C270" s="5" t="s">
        <v>90</v>
      </c>
      <c r="D270" s="5"/>
      <c r="E270" s="52">
        <f t="shared" si="22"/>
        <v>0</v>
      </c>
      <c r="F270" s="5"/>
    </row>
    <row r="271" spans="1:6" ht="14.5" x14ac:dyDescent="0.35">
      <c r="A271" s="5"/>
      <c r="B271" s="5"/>
      <c r="C271" s="5" t="s">
        <v>90</v>
      </c>
      <c r="D271" s="5"/>
      <c r="E271" s="52">
        <f t="shared" si="22"/>
        <v>0</v>
      </c>
      <c r="F271" s="5"/>
    </row>
    <row r="272" spans="1:6" ht="14.5" x14ac:dyDescent="0.35">
      <c r="A272" s="5"/>
      <c r="B272" s="5"/>
      <c r="C272" s="5" t="s">
        <v>90</v>
      </c>
      <c r="D272" s="5"/>
      <c r="E272" s="52">
        <f t="shared" si="22"/>
        <v>0</v>
      </c>
      <c r="F272" s="5"/>
    </row>
    <row r="273" spans="1:6" ht="14.5" x14ac:dyDescent="0.35">
      <c r="A273" s="5"/>
      <c r="B273" s="5"/>
      <c r="C273" s="5" t="s">
        <v>90</v>
      </c>
      <c r="D273" s="5"/>
      <c r="E273" s="52">
        <f t="shared" si="22"/>
        <v>0</v>
      </c>
      <c r="F273" s="5"/>
    </row>
    <row r="274" spans="1:6" ht="14.5" x14ac:dyDescent="0.35">
      <c r="A274" s="5"/>
      <c r="B274" s="5"/>
      <c r="C274" s="5" t="s">
        <v>90</v>
      </c>
      <c r="D274" s="5"/>
      <c r="E274" s="52">
        <f t="shared" si="22"/>
        <v>0</v>
      </c>
      <c r="F274" s="5"/>
    </row>
    <row r="275" spans="1:6" ht="14.5" x14ac:dyDescent="0.35">
      <c r="A275" s="5"/>
      <c r="B275" s="5"/>
      <c r="C275" s="5" t="s">
        <v>90</v>
      </c>
      <c r="D275" s="5"/>
      <c r="E275" s="52">
        <f t="shared" si="22"/>
        <v>0</v>
      </c>
      <c r="F275" s="5"/>
    </row>
    <row r="276" spans="1:6" ht="14.5" x14ac:dyDescent="0.35">
      <c r="A276" s="5"/>
      <c r="B276" s="5"/>
      <c r="C276" s="5"/>
      <c r="D276" s="5"/>
      <c r="E276" s="5"/>
      <c r="F276" s="5"/>
    </row>
    <row r="277" spans="1:6" ht="14.5" x14ac:dyDescent="0.35">
      <c r="A277" s="1" t="s">
        <v>122</v>
      </c>
      <c r="B277" s="1"/>
      <c r="C277" s="1"/>
      <c r="D277" s="1"/>
      <c r="E277" s="1"/>
      <c r="F277" s="51">
        <f>SUM(E279:E287)</f>
        <v>0</v>
      </c>
    </row>
    <row r="278" spans="1:6" ht="14.5" x14ac:dyDescent="0.35">
      <c r="A278" s="5"/>
      <c r="B278" s="5" t="s">
        <v>2</v>
      </c>
      <c r="C278" s="5"/>
      <c r="D278" s="5" t="s">
        <v>3</v>
      </c>
      <c r="E278" s="5" t="s">
        <v>4</v>
      </c>
      <c r="F278" s="5"/>
    </row>
    <row r="279" spans="1:6" ht="14.5" x14ac:dyDescent="0.35">
      <c r="A279" s="5"/>
      <c r="B279" s="5"/>
      <c r="C279" s="5" t="s">
        <v>90</v>
      </c>
      <c r="D279" s="5"/>
      <c r="E279" s="52">
        <f t="shared" ref="E279:E287" si="23">D279*B279</f>
        <v>0</v>
      </c>
      <c r="F279" s="5"/>
    </row>
    <row r="280" spans="1:6" ht="14.5" x14ac:dyDescent="0.35">
      <c r="A280" s="5"/>
      <c r="B280" s="5"/>
      <c r="C280" s="5" t="s">
        <v>90</v>
      </c>
      <c r="D280" s="5"/>
      <c r="E280" s="52">
        <f t="shared" si="23"/>
        <v>0</v>
      </c>
      <c r="F280" s="5"/>
    </row>
    <row r="281" spans="1:6" ht="14.5" x14ac:dyDescent="0.35">
      <c r="A281" s="5"/>
      <c r="B281" s="5"/>
      <c r="C281" s="5" t="s">
        <v>90</v>
      </c>
      <c r="D281" s="5"/>
      <c r="E281" s="52">
        <f t="shared" si="23"/>
        <v>0</v>
      </c>
      <c r="F281" s="5"/>
    </row>
    <row r="282" spans="1:6" ht="14.5" x14ac:dyDescent="0.35">
      <c r="A282" s="5"/>
      <c r="B282" s="5"/>
      <c r="C282" s="5" t="s">
        <v>90</v>
      </c>
      <c r="D282" s="5"/>
      <c r="E282" s="52">
        <f t="shared" si="23"/>
        <v>0</v>
      </c>
      <c r="F282" s="5"/>
    </row>
    <row r="283" spans="1:6" ht="14.5" x14ac:dyDescent="0.35">
      <c r="A283" s="5"/>
      <c r="B283" s="5"/>
      <c r="C283" s="5" t="s">
        <v>90</v>
      </c>
      <c r="D283" s="5"/>
      <c r="E283" s="52">
        <f t="shared" si="23"/>
        <v>0</v>
      </c>
      <c r="F283" s="5"/>
    </row>
    <row r="284" spans="1:6" ht="14.5" x14ac:dyDescent="0.35">
      <c r="A284" s="5"/>
      <c r="B284" s="5"/>
      <c r="C284" s="5" t="s">
        <v>90</v>
      </c>
      <c r="D284" s="5"/>
      <c r="E284" s="52">
        <f t="shared" si="23"/>
        <v>0</v>
      </c>
      <c r="F284" s="5"/>
    </row>
    <row r="285" spans="1:6" ht="14.5" x14ac:dyDescent="0.35">
      <c r="A285" s="5"/>
      <c r="B285" s="5"/>
      <c r="C285" s="5" t="s">
        <v>90</v>
      </c>
      <c r="D285" s="5"/>
      <c r="E285" s="52">
        <f t="shared" si="23"/>
        <v>0</v>
      </c>
      <c r="F285" s="5"/>
    </row>
    <row r="286" spans="1:6" ht="14.5" x14ac:dyDescent="0.35">
      <c r="A286" s="5"/>
      <c r="B286" s="5"/>
      <c r="C286" s="5" t="s">
        <v>90</v>
      </c>
      <c r="D286" s="5"/>
      <c r="E286" s="52">
        <f t="shared" si="23"/>
        <v>0</v>
      </c>
      <c r="F286" s="5"/>
    </row>
    <row r="287" spans="1:6" ht="14.5" x14ac:dyDescent="0.35">
      <c r="A287" s="5"/>
      <c r="B287" s="5"/>
      <c r="C287" s="5" t="s">
        <v>90</v>
      </c>
      <c r="D287" s="5"/>
      <c r="E287" s="52">
        <f t="shared" si="23"/>
        <v>0</v>
      </c>
      <c r="F287" s="5"/>
    </row>
    <row r="288" spans="1:6" ht="14.5" x14ac:dyDescent="0.35">
      <c r="A288" s="5"/>
      <c r="B288" s="5"/>
      <c r="C288" s="5"/>
      <c r="D288" s="5"/>
      <c r="E288" s="5"/>
      <c r="F288" s="5"/>
    </row>
    <row r="289" spans="1:6" ht="14.5" x14ac:dyDescent="0.35">
      <c r="A289" s="1" t="s">
        <v>122</v>
      </c>
      <c r="B289" s="1"/>
      <c r="C289" s="1"/>
      <c r="D289" s="1"/>
      <c r="E289" s="1"/>
      <c r="F289" s="51">
        <f>SUM(E291:E299)</f>
        <v>0</v>
      </c>
    </row>
    <row r="290" spans="1:6" ht="14.5" x14ac:dyDescent="0.35">
      <c r="A290" s="5"/>
      <c r="B290" s="5" t="s">
        <v>2</v>
      </c>
      <c r="C290" s="5"/>
      <c r="D290" s="5" t="s">
        <v>3</v>
      </c>
      <c r="E290" s="5" t="s">
        <v>4</v>
      </c>
      <c r="F290" s="5"/>
    </row>
    <row r="291" spans="1:6" ht="14.5" x14ac:dyDescent="0.35">
      <c r="A291" s="5"/>
      <c r="B291" s="5"/>
      <c r="C291" s="5" t="s">
        <v>90</v>
      </c>
      <c r="D291" s="5"/>
      <c r="E291" s="52">
        <f t="shared" ref="E291:E299" si="24">D291*B291</f>
        <v>0</v>
      </c>
      <c r="F291" s="5"/>
    </row>
    <row r="292" spans="1:6" ht="14.5" x14ac:dyDescent="0.35">
      <c r="A292" s="5"/>
      <c r="B292" s="5"/>
      <c r="C292" s="5" t="s">
        <v>90</v>
      </c>
      <c r="D292" s="5"/>
      <c r="E292" s="52">
        <f t="shared" si="24"/>
        <v>0</v>
      </c>
      <c r="F292" s="5"/>
    </row>
    <row r="293" spans="1:6" ht="14.5" x14ac:dyDescent="0.35">
      <c r="A293" s="5"/>
      <c r="B293" s="5"/>
      <c r="C293" s="5" t="s">
        <v>90</v>
      </c>
      <c r="D293" s="5"/>
      <c r="E293" s="52">
        <f t="shared" si="24"/>
        <v>0</v>
      </c>
      <c r="F293" s="5"/>
    </row>
    <row r="294" spans="1:6" ht="14.5" x14ac:dyDescent="0.35">
      <c r="A294" s="5"/>
      <c r="B294" s="5"/>
      <c r="C294" s="5" t="s">
        <v>90</v>
      </c>
      <c r="D294" s="5"/>
      <c r="E294" s="52">
        <f t="shared" si="24"/>
        <v>0</v>
      </c>
      <c r="F294" s="5"/>
    </row>
    <row r="295" spans="1:6" ht="14.5" x14ac:dyDescent="0.35">
      <c r="A295" s="5"/>
      <c r="B295" s="5"/>
      <c r="C295" s="5" t="s">
        <v>90</v>
      </c>
      <c r="D295" s="5"/>
      <c r="E295" s="52">
        <f t="shared" si="24"/>
        <v>0</v>
      </c>
      <c r="F295" s="5"/>
    </row>
    <row r="296" spans="1:6" ht="14.5" x14ac:dyDescent="0.35">
      <c r="A296" s="5"/>
      <c r="B296" s="5"/>
      <c r="C296" s="5" t="s">
        <v>90</v>
      </c>
      <c r="D296" s="5"/>
      <c r="E296" s="52">
        <f t="shared" si="24"/>
        <v>0</v>
      </c>
      <c r="F296" s="5"/>
    </row>
    <row r="297" spans="1:6" ht="14.5" x14ac:dyDescent="0.35">
      <c r="A297" s="5"/>
      <c r="B297" s="5"/>
      <c r="C297" s="5" t="s">
        <v>90</v>
      </c>
      <c r="D297" s="5"/>
      <c r="E297" s="52">
        <f t="shared" si="24"/>
        <v>0</v>
      </c>
      <c r="F297" s="5"/>
    </row>
    <row r="298" spans="1:6" ht="14.5" x14ac:dyDescent="0.35">
      <c r="A298" s="5"/>
      <c r="B298" s="5"/>
      <c r="C298" s="5" t="s">
        <v>90</v>
      </c>
      <c r="D298" s="5"/>
      <c r="E298" s="52">
        <f t="shared" si="24"/>
        <v>0</v>
      </c>
      <c r="F298" s="5"/>
    </row>
    <row r="299" spans="1:6" ht="14.5" x14ac:dyDescent="0.35">
      <c r="A299" s="5"/>
      <c r="B299" s="5"/>
      <c r="C299" s="5" t="s">
        <v>90</v>
      </c>
      <c r="D299" s="5"/>
      <c r="E299" s="52">
        <f t="shared" si="24"/>
        <v>0</v>
      </c>
      <c r="F299" s="5"/>
    </row>
    <row r="300" spans="1:6" ht="14.5" x14ac:dyDescent="0.35">
      <c r="A300" s="5"/>
      <c r="B300" s="5"/>
      <c r="C300" s="5"/>
      <c r="D300" s="5"/>
      <c r="E300" s="5"/>
      <c r="F300" s="5"/>
    </row>
    <row r="301" spans="1:6" ht="14.5" x14ac:dyDescent="0.35">
      <c r="A301" s="1" t="s">
        <v>122</v>
      </c>
      <c r="B301" s="1"/>
      <c r="C301" s="1"/>
      <c r="D301" s="1"/>
      <c r="E301" s="1"/>
      <c r="F301" s="51">
        <f>SUM(E303:E311)</f>
        <v>0</v>
      </c>
    </row>
    <row r="302" spans="1:6" ht="14.5" x14ac:dyDescent="0.35">
      <c r="A302" s="5"/>
      <c r="B302" s="5" t="s">
        <v>2</v>
      </c>
      <c r="C302" s="5"/>
      <c r="D302" s="5" t="s">
        <v>3</v>
      </c>
      <c r="E302" s="5" t="s">
        <v>4</v>
      </c>
      <c r="F302" s="5"/>
    </row>
    <row r="303" spans="1:6" ht="14.5" x14ac:dyDescent="0.35">
      <c r="A303" s="5"/>
      <c r="B303" s="5"/>
      <c r="C303" s="5" t="s">
        <v>90</v>
      </c>
      <c r="D303" s="5"/>
      <c r="E303" s="52">
        <f t="shared" ref="E303:E311" si="25">D303*B303</f>
        <v>0</v>
      </c>
      <c r="F303" s="5"/>
    </row>
    <row r="304" spans="1:6" ht="14.5" x14ac:dyDescent="0.35">
      <c r="A304" s="5"/>
      <c r="B304" s="5"/>
      <c r="C304" s="5" t="s">
        <v>90</v>
      </c>
      <c r="D304" s="5"/>
      <c r="E304" s="52">
        <f t="shared" si="25"/>
        <v>0</v>
      </c>
      <c r="F304" s="5"/>
    </row>
    <row r="305" spans="1:6" ht="14.5" x14ac:dyDescent="0.35">
      <c r="A305" s="5"/>
      <c r="B305" s="5"/>
      <c r="C305" s="5" t="s">
        <v>90</v>
      </c>
      <c r="D305" s="5"/>
      <c r="E305" s="52">
        <f t="shared" si="25"/>
        <v>0</v>
      </c>
      <c r="F305" s="5"/>
    </row>
    <row r="306" spans="1:6" ht="14.5" x14ac:dyDescent="0.35">
      <c r="A306" s="5"/>
      <c r="B306" s="5"/>
      <c r="C306" s="5" t="s">
        <v>90</v>
      </c>
      <c r="D306" s="5"/>
      <c r="E306" s="52">
        <f t="shared" si="25"/>
        <v>0</v>
      </c>
      <c r="F306" s="5"/>
    </row>
    <row r="307" spans="1:6" ht="14.5" x14ac:dyDescent="0.35">
      <c r="A307" s="5"/>
      <c r="B307" s="5"/>
      <c r="C307" s="5" t="s">
        <v>90</v>
      </c>
      <c r="D307" s="5"/>
      <c r="E307" s="52">
        <f t="shared" si="25"/>
        <v>0</v>
      </c>
      <c r="F307" s="5"/>
    </row>
    <row r="308" spans="1:6" ht="14.5" x14ac:dyDescent="0.35">
      <c r="A308" s="5"/>
      <c r="B308" s="5"/>
      <c r="C308" s="5" t="s">
        <v>90</v>
      </c>
      <c r="D308" s="5"/>
      <c r="E308" s="52">
        <f t="shared" si="25"/>
        <v>0</v>
      </c>
      <c r="F308" s="5"/>
    </row>
    <row r="309" spans="1:6" ht="14.5" x14ac:dyDescent="0.35">
      <c r="A309" s="5"/>
      <c r="B309" s="5"/>
      <c r="C309" s="5" t="s">
        <v>90</v>
      </c>
      <c r="D309" s="5"/>
      <c r="E309" s="52">
        <f t="shared" si="25"/>
        <v>0</v>
      </c>
      <c r="F309" s="5"/>
    </row>
    <row r="310" spans="1:6" ht="14.5" x14ac:dyDescent="0.35">
      <c r="A310" s="5"/>
      <c r="B310" s="5"/>
      <c r="C310" s="5" t="s">
        <v>90</v>
      </c>
      <c r="D310" s="5"/>
      <c r="E310" s="52">
        <f t="shared" si="25"/>
        <v>0</v>
      </c>
      <c r="F310" s="5"/>
    </row>
    <row r="311" spans="1:6" ht="14.5" x14ac:dyDescent="0.35">
      <c r="A311" s="5"/>
      <c r="B311" s="5"/>
      <c r="C311" s="5" t="s">
        <v>90</v>
      </c>
      <c r="D311" s="5"/>
      <c r="E311" s="52">
        <f t="shared" si="25"/>
        <v>0</v>
      </c>
      <c r="F311" s="5"/>
    </row>
    <row r="312" spans="1:6" ht="14.5" x14ac:dyDescent="0.35">
      <c r="A312" s="5"/>
      <c r="B312" s="5"/>
      <c r="C312" s="5"/>
      <c r="D312" s="5"/>
      <c r="E312" s="5"/>
      <c r="F312" s="5"/>
    </row>
    <row r="313" spans="1:6" ht="14.5" x14ac:dyDescent="0.35">
      <c r="A313" s="1" t="s">
        <v>122</v>
      </c>
      <c r="B313" s="1"/>
      <c r="C313" s="1"/>
      <c r="D313" s="1"/>
      <c r="E313" s="1"/>
      <c r="F313" s="51">
        <f>SUM(E315:E323)</f>
        <v>0</v>
      </c>
    </row>
    <row r="314" spans="1:6" ht="14.5" x14ac:dyDescent="0.35">
      <c r="A314" s="5"/>
      <c r="B314" s="5" t="s">
        <v>2</v>
      </c>
      <c r="C314" s="5"/>
      <c r="D314" s="5" t="s">
        <v>3</v>
      </c>
      <c r="E314" s="5" t="s">
        <v>4</v>
      </c>
      <c r="F314" s="5"/>
    </row>
    <row r="315" spans="1:6" ht="14.5" x14ac:dyDescent="0.35">
      <c r="A315" s="5"/>
      <c r="B315" s="5"/>
      <c r="C315" s="5" t="s">
        <v>90</v>
      </c>
      <c r="D315" s="5"/>
      <c r="E315" s="52">
        <f t="shared" ref="E315:E323" si="26">D315*B315</f>
        <v>0</v>
      </c>
      <c r="F315" s="5"/>
    </row>
    <row r="316" spans="1:6" ht="14.5" x14ac:dyDescent="0.35">
      <c r="A316" s="5"/>
      <c r="B316" s="5"/>
      <c r="C316" s="5" t="s">
        <v>90</v>
      </c>
      <c r="D316" s="5"/>
      <c r="E316" s="52">
        <f t="shared" si="26"/>
        <v>0</v>
      </c>
      <c r="F316" s="5"/>
    </row>
    <row r="317" spans="1:6" ht="14.5" x14ac:dyDescent="0.35">
      <c r="A317" s="5"/>
      <c r="B317" s="5"/>
      <c r="C317" s="5" t="s">
        <v>90</v>
      </c>
      <c r="D317" s="5"/>
      <c r="E317" s="52">
        <f t="shared" si="26"/>
        <v>0</v>
      </c>
      <c r="F317" s="5"/>
    </row>
    <row r="318" spans="1:6" ht="14.5" x14ac:dyDescent="0.35">
      <c r="A318" s="5"/>
      <c r="B318" s="5"/>
      <c r="C318" s="5" t="s">
        <v>90</v>
      </c>
      <c r="D318" s="5"/>
      <c r="E318" s="52">
        <f t="shared" si="26"/>
        <v>0</v>
      </c>
      <c r="F318" s="5"/>
    </row>
    <row r="319" spans="1:6" ht="14.5" x14ac:dyDescent="0.35">
      <c r="A319" s="5"/>
      <c r="B319" s="5"/>
      <c r="C319" s="5" t="s">
        <v>90</v>
      </c>
      <c r="D319" s="5"/>
      <c r="E319" s="52">
        <f t="shared" si="26"/>
        <v>0</v>
      </c>
      <c r="F319" s="5"/>
    </row>
    <row r="320" spans="1:6" ht="14.5" x14ac:dyDescent="0.35">
      <c r="A320" s="5"/>
      <c r="B320" s="5"/>
      <c r="C320" s="5" t="s">
        <v>90</v>
      </c>
      <c r="D320" s="5"/>
      <c r="E320" s="52">
        <f t="shared" si="26"/>
        <v>0</v>
      </c>
      <c r="F320" s="5"/>
    </row>
    <row r="321" spans="1:6" ht="14.5" x14ac:dyDescent="0.35">
      <c r="A321" s="5"/>
      <c r="B321" s="5"/>
      <c r="C321" s="5" t="s">
        <v>90</v>
      </c>
      <c r="D321" s="5"/>
      <c r="E321" s="52">
        <f t="shared" si="26"/>
        <v>0</v>
      </c>
      <c r="F321" s="5"/>
    </row>
    <row r="322" spans="1:6" ht="14.5" x14ac:dyDescent="0.35">
      <c r="A322" s="5"/>
      <c r="B322" s="5"/>
      <c r="C322" s="5" t="s">
        <v>90</v>
      </c>
      <c r="D322" s="5"/>
      <c r="E322" s="52">
        <f t="shared" si="26"/>
        <v>0</v>
      </c>
      <c r="F322" s="5"/>
    </row>
    <row r="323" spans="1:6" ht="14.5" x14ac:dyDescent="0.35">
      <c r="A323" s="5"/>
      <c r="B323" s="5"/>
      <c r="C323" s="5" t="s">
        <v>90</v>
      </c>
      <c r="D323" s="5"/>
      <c r="E323" s="52">
        <f t="shared" si="26"/>
        <v>0</v>
      </c>
      <c r="F323" s="5"/>
    </row>
    <row r="324" spans="1:6" ht="14.5" x14ac:dyDescent="0.35">
      <c r="A324" s="5"/>
      <c r="B324" s="5"/>
      <c r="C324" s="5"/>
      <c r="D324" s="5"/>
      <c r="E324" s="5"/>
      <c r="F324" s="5"/>
    </row>
    <row r="325" spans="1:6" ht="14.5" x14ac:dyDescent="0.35">
      <c r="A325" s="1" t="s">
        <v>122</v>
      </c>
      <c r="B325" s="1"/>
      <c r="C325" s="1"/>
      <c r="D325" s="1"/>
      <c r="E325" s="1"/>
      <c r="F325" s="51">
        <f>SUM(E327:E335)</f>
        <v>0</v>
      </c>
    </row>
    <row r="326" spans="1:6" ht="14.5" x14ac:dyDescent="0.35">
      <c r="A326" s="5"/>
      <c r="B326" s="5" t="s">
        <v>2</v>
      </c>
      <c r="C326" s="5"/>
      <c r="D326" s="5" t="s">
        <v>3</v>
      </c>
      <c r="E326" s="5" t="s">
        <v>4</v>
      </c>
      <c r="F326" s="5"/>
    </row>
    <row r="327" spans="1:6" ht="14.5" x14ac:dyDescent="0.35">
      <c r="A327" s="5"/>
      <c r="B327" s="5"/>
      <c r="C327" s="5" t="s">
        <v>90</v>
      </c>
      <c r="D327" s="5"/>
      <c r="E327" s="52">
        <f t="shared" ref="E327:E335" si="27">D327*B327</f>
        <v>0</v>
      </c>
      <c r="F327" s="5"/>
    </row>
    <row r="328" spans="1:6" ht="14.5" x14ac:dyDescent="0.35">
      <c r="A328" s="5"/>
      <c r="B328" s="5"/>
      <c r="C328" s="5" t="s">
        <v>90</v>
      </c>
      <c r="D328" s="5"/>
      <c r="E328" s="52">
        <f t="shared" si="27"/>
        <v>0</v>
      </c>
      <c r="F328" s="5"/>
    </row>
    <row r="329" spans="1:6" ht="14.5" x14ac:dyDescent="0.35">
      <c r="A329" s="5"/>
      <c r="B329" s="5"/>
      <c r="C329" s="5" t="s">
        <v>90</v>
      </c>
      <c r="D329" s="5"/>
      <c r="E329" s="52">
        <f t="shared" si="27"/>
        <v>0</v>
      </c>
      <c r="F329" s="5"/>
    </row>
    <row r="330" spans="1:6" ht="14.5" x14ac:dyDescent="0.35">
      <c r="A330" s="5"/>
      <c r="B330" s="5"/>
      <c r="C330" s="5" t="s">
        <v>90</v>
      </c>
      <c r="D330" s="5"/>
      <c r="E330" s="52">
        <f t="shared" si="27"/>
        <v>0</v>
      </c>
      <c r="F330" s="5"/>
    </row>
    <row r="331" spans="1:6" ht="14.5" x14ac:dyDescent="0.35">
      <c r="A331" s="5"/>
      <c r="B331" s="5"/>
      <c r="C331" s="5" t="s">
        <v>90</v>
      </c>
      <c r="D331" s="5"/>
      <c r="E331" s="52">
        <f t="shared" si="27"/>
        <v>0</v>
      </c>
      <c r="F331" s="5"/>
    </row>
    <row r="332" spans="1:6" ht="14.5" x14ac:dyDescent="0.35">
      <c r="A332" s="5"/>
      <c r="B332" s="5"/>
      <c r="C332" s="5" t="s">
        <v>90</v>
      </c>
      <c r="D332" s="5"/>
      <c r="E332" s="52">
        <f t="shared" si="27"/>
        <v>0</v>
      </c>
      <c r="F332" s="5"/>
    </row>
    <row r="333" spans="1:6" ht="14.5" x14ac:dyDescent="0.35">
      <c r="A333" s="5"/>
      <c r="B333" s="5"/>
      <c r="C333" s="5" t="s">
        <v>90</v>
      </c>
      <c r="D333" s="5"/>
      <c r="E333" s="52">
        <f t="shared" si="27"/>
        <v>0</v>
      </c>
      <c r="F333" s="5"/>
    </row>
    <row r="334" spans="1:6" ht="14.5" x14ac:dyDescent="0.35">
      <c r="A334" s="5"/>
      <c r="B334" s="5"/>
      <c r="C334" s="5" t="s">
        <v>90</v>
      </c>
      <c r="D334" s="5"/>
      <c r="E334" s="52">
        <f t="shared" si="27"/>
        <v>0</v>
      </c>
      <c r="F334" s="5"/>
    </row>
    <row r="335" spans="1:6" ht="14.5" x14ac:dyDescent="0.35">
      <c r="A335" s="5"/>
      <c r="B335" s="5"/>
      <c r="C335" s="5" t="s">
        <v>90</v>
      </c>
      <c r="D335" s="5"/>
      <c r="E335" s="52">
        <f t="shared" si="27"/>
        <v>0</v>
      </c>
      <c r="F335" s="5"/>
    </row>
    <row r="336" spans="1:6" ht="14.5" x14ac:dyDescent="0.35">
      <c r="A336" s="5"/>
      <c r="B336" s="5"/>
      <c r="C336" s="5"/>
      <c r="D336" s="5"/>
      <c r="E336" s="5"/>
      <c r="F336" s="5"/>
    </row>
    <row r="337" spans="1:6" ht="14.5" x14ac:dyDescent="0.35">
      <c r="A337" s="1" t="s">
        <v>122</v>
      </c>
      <c r="B337" s="1"/>
      <c r="C337" s="1"/>
      <c r="D337" s="1"/>
      <c r="E337" s="1"/>
      <c r="F337" s="51">
        <f>SUM(E339:E347)</f>
        <v>0</v>
      </c>
    </row>
    <row r="338" spans="1:6" ht="14.5" x14ac:dyDescent="0.35">
      <c r="A338" s="5"/>
      <c r="B338" s="5" t="s">
        <v>2</v>
      </c>
      <c r="C338" s="5"/>
      <c r="D338" s="5" t="s">
        <v>3</v>
      </c>
      <c r="E338" s="5" t="s">
        <v>4</v>
      </c>
      <c r="F338" s="5"/>
    </row>
    <row r="339" spans="1:6" ht="14.5" x14ac:dyDescent="0.35">
      <c r="A339" s="5"/>
      <c r="B339" s="5"/>
      <c r="C339" s="5" t="s">
        <v>90</v>
      </c>
      <c r="D339" s="5"/>
      <c r="E339" s="52">
        <f t="shared" ref="E339:E347" si="28">D339*B339</f>
        <v>0</v>
      </c>
      <c r="F339" s="5"/>
    </row>
    <row r="340" spans="1:6" ht="14.5" x14ac:dyDescent="0.35">
      <c r="A340" s="5"/>
      <c r="B340" s="5"/>
      <c r="C340" s="5" t="s">
        <v>90</v>
      </c>
      <c r="D340" s="5"/>
      <c r="E340" s="52">
        <f t="shared" si="28"/>
        <v>0</v>
      </c>
      <c r="F340" s="5"/>
    </row>
    <row r="341" spans="1:6" ht="14.5" x14ac:dyDescent="0.35">
      <c r="A341" s="5"/>
      <c r="B341" s="5"/>
      <c r="C341" s="5" t="s">
        <v>90</v>
      </c>
      <c r="D341" s="5"/>
      <c r="E341" s="52">
        <f t="shared" si="28"/>
        <v>0</v>
      </c>
      <c r="F341" s="5"/>
    </row>
    <row r="342" spans="1:6" ht="14.5" x14ac:dyDescent="0.35">
      <c r="A342" s="5"/>
      <c r="B342" s="5"/>
      <c r="C342" s="5" t="s">
        <v>90</v>
      </c>
      <c r="D342" s="5"/>
      <c r="E342" s="52">
        <f t="shared" si="28"/>
        <v>0</v>
      </c>
      <c r="F342" s="5"/>
    </row>
    <row r="343" spans="1:6" ht="14.5" x14ac:dyDescent="0.35">
      <c r="A343" s="5"/>
      <c r="B343" s="5"/>
      <c r="C343" s="5" t="s">
        <v>90</v>
      </c>
      <c r="D343" s="5"/>
      <c r="E343" s="52">
        <f t="shared" si="28"/>
        <v>0</v>
      </c>
      <c r="F343" s="5"/>
    </row>
    <row r="344" spans="1:6" ht="14.5" x14ac:dyDescent="0.35">
      <c r="A344" s="5"/>
      <c r="B344" s="5"/>
      <c r="C344" s="5" t="s">
        <v>90</v>
      </c>
      <c r="D344" s="5"/>
      <c r="E344" s="52">
        <f t="shared" si="28"/>
        <v>0</v>
      </c>
      <c r="F344" s="5"/>
    </row>
    <row r="345" spans="1:6" ht="14.5" x14ac:dyDescent="0.35">
      <c r="A345" s="5"/>
      <c r="B345" s="5"/>
      <c r="C345" s="5" t="s">
        <v>90</v>
      </c>
      <c r="D345" s="5"/>
      <c r="E345" s="52">
        <f t="shared" si="28"/>
        <v>0</v>
      </c>
      <c r="F345" s="5"/>
    </row>
    <row r="346" spans="1:6" ht="14.5" x14ac:dyDescent="0.35">
      <c r="A346" s="5"/>
      <c r="B346" s="5"/>
      <c r="C346" s="5" t="s">
        <v>90</v>
      </c>
      <c r="D346" s="5"/>
      <c r="E346" s="52">
        <f t="shared" si="28"/>
        <v>0</v>
      </c>
      <c r="F346" s="5"/>
    </row>
    <row r="347" spans="1:6" ht="14.5" x14ac:dyDescent="0.35">
      <c r="A347" s="5"/>
      <c r="B347" s="5"/>
      <c r="C347" s="5" t="s">
        <v>90</v>
      </c>
      <c r="D347" s="5"/>
      <c r="E347" s="52">
        <f t="shared" si="28"/>
        <v>0</v>
      </c>
      <c r="F347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9E741-AFCC-4A40-8385-39E6EC20EE5B}">
  <sheetPr>
    <outlinePr summaryBelow="0" summaryRight="0"/>
  </sheetPr>
  <dimension ref="A1:G359"/>
  <sheetViews>
    <sheetView topLeftCell="A352" workbookViewId="0">
      <selection activeCell="H30" sqref="H30"/>
    </sheetView>
  </sheetViews>
  <sheetFormatPr defaultColWidth="14.453125" defaultRowHeight="15.75" customHeight="1" x14ac:dyDescent="0.25"/>
  <cols>
    <col min="1" max="1" width="34.26953125" customWidth="1"/>
    <col min="2" max="3" width="6.7265625" customWidth="1"/>
    <col min="4" max="4" width="11.54296875" bestFit="1" customWidth="1"/>
    <col min="5" max="6" width="11.81640625" customWidth="1"/>
  </cols>
  <sheetData>
    <row r="1" spans="1:7" ht="15" thickBot="1" x14ac:dyDescent="0.4">
      <c r="A1" s="176" t="s">
        <v>339</v>
      </c>
      <c r="B1" s="177"/>
      <c r="C1" s="177"/>
      <c r="D1" s="177"/>
      <c r="E1" s="177"/>
      <c r="F1" s="178">
        <v>2303.072917</v>
      </c>
    </row>
    <row r="2" spans="1:7" ht="15" thickBot="1" x14ac:dyDescent="0.4">
      <c r="A2" s="179"/>
      <c r="B2" s="180" t="s">
        <v>2</v>
      </c>
      <c r="C2" s="179"/>
      <c r="D2" s="180" t="s">
        <v>3</v>
      </c>
      <c r="E2" s="180" t="s">
        <v>4</v>
      </c>
      <c r="F2" s="179"/>
    </row>
    <row r="3" spans="1:7" ht="15" thickBot="1" x14ac:dyDescent="0.4">
      <c r="A3" s="180" t="s">
        <v>337</v>
      </c>
      <c r="B3" s="181">
        <v>2.5000000000000001E-3</v>
      </c>
      <c r="C3" s="180" t="s">
        <v>7</v>
      </c>
      <c r="D3" s="182">
        <v>650000</v>
      </c>
      <c r="E3" s="181">
        <v>1625</v>
      </c>
      <c r="F3" s="179"/>
    </row>
    <row r="4" spans="1:7" ht="15" thickBot="1" x14ac:dyDescent="0.4">
      <c r="A4" s="180" t="s">
        <v>118</v>
      </c>
      <c r="B4" s="181">
        <v>1</v>
      </c>
      <c r="C4" s="180" t="s">
        <v>7</v>
      </c>
      <c r="D4" s="181">
        <v>100</v>
      </c>
      <c r="E4" s="181">
        <v>100</v>
      </c>
      <c r="F4" s="179"/>
    </row>
    <row r="5" spans="1:7" ht="17" thickBot="1" x14ac:dyDescent="0.6">
      <c r="A5" s="180" t="s">
        <v>89</v>
      </c>
      <c r="B5" s="181">
        <v>0.02</v>
      </c>
      <c r="C5" s="180" t="s">
        <v>119</v>
      </c>
      <c r="D5" s="183">
        <v>28904</v>
      </c>
      <c r="E5" s="181">
        <v>578.07291669999995</v>
      </c>
      <c r="F5" s="179"/>
    </row>
    <row r="6" spans="1:7" ht="15" thickBot="1" x14ac:dyDescent="0.4">
      <c r="A6" s="179"/>
      <c r="B6" s="179"/>
      <c r="C6" s="179"/>
      <c r="D6" s="179"/>
      <c r="E6" s="181">
        <v>0</v>
      </c>
      <c r="F6" s="179"/>
    </row>
    <row r="7" spans="1:7" ht="15" thickBot="1" x14ac:dyDescent="0.4">
      <c r="A7" s="179"/>
      <c r="B7" s="179"/>
      <c r="C7" s="179"/>
      <c r="D7" s="179"/>
      <c r="E7" s="181">
        <v>0</v>
      </c>
      <c r="F7" s="179"/>
    </row>
    <row r="8" spans="1:7" ht="15" thickBot="1" x14ac:dyDescent="0.4">
      <c r="A8" s="179"/>
      <c r="B8" s="179"/>
      <c r="C8" s="179"/>
      <c r="D8" s="179"/>
      <c r="E8" s="181">
        <v>0</v>
      </c>
      <c r="F8" s="179"/>
    </row>
    <row r="9" spans="1:7" ht="15" thickBot="1" x14ac:dyDescent="0.4">
      <c r="A9" s="179"/>
      <c r="B9" s="179"/>
      <c r="C9" s="179"/>
      <c r="D9" s="179"/>
      <c r="E9" s="181">
        <v>0</v>
      </c>
      <c r="F9" s="179"/>
    </row>
    <row r="10" spans="1:7" ht="15" thickBot="1" x14ac:dyDescent="0.4">
      <c r="A10" s="179"/>
      <c r="B10" s="179"/>
      <c r="C10" s="179"/>
      <c r="D10" s="179"/>
      <c r="E10" s="181">
        <v>0</v>
      </c>
      <c r="F10" s="179"/>
    </row>
    <row r="11" spans="1:7" ht="15" thickBot="1" x14ac:dyDescent="0.4">
      <c r="A11" s="179"/>
      <c r="B11" s="179"/>
      <c r="C11" s="179"/>
      <c r="D11" s="179"/>
      <c r="E11" s="181">
        <v>0</v>
      </c>
      <c r="F11" s="179"/>
    </row>
    <row r="12" spans="1:7" ht="15" thickBot="1" x14ac:dyDescent="0.4">
      <c r="A12" s="5"/>
      <c r="B12" s="5"/>
      <c r="C12" s="5"/>
      <c r="D12" s="5"/>
      <c r="E12" s="5"/>
      <c r="F12" s="5"/>
    </row>
    <row r="13" spans="1:7" ht="15" thickBot="1" x14ac:dyDescent="0.4">
      <c r="A13" s="184" t="s">
        <v>116</v>
      </c>
      <c r="B13" s="185"/>
      <c r="C13" s="185"/>
      <c r="D13" s="185"/>
      <c r="E13" s="185"/>
      <c r="F13" s="186">
        <v>3689.036458</v>
      </c>
    </row>
    <row r="14" spans="1:7" ht="15" thickBot="1" x14ac:dyDescent="0.4">
      <c r="A14" s="179"/>
      <c r="B14" s="180" t="s">
        <v>2</v>
      </c>
      <c r="C14" s="179"/>
      <c r="D14" s="180" t="s">
        <v>3</v>
      </c>
      <c r="E14" s="180" t="s">
        <v>4</v>
      </c>
      <c r="F14" s="179"/>
    </row>
    <row r="15" spans="1:7" ht="15" thickBot="1" x14ac:dyDescent="0.4">
      <c r="A15" s="180" t="s">
        <v>117</v>
      </c>
      <c r="B15" s="181">
        <v>2.5000000000000001E-3</v>
      </c>
      <c r="C15" s="180" t="s">
        <v>7</v>
      </c>
      <c r="D15" s="182">
        <v>1200000</v>
      </c>
      <c r="E15" s="181">
        <v>3000</v>
      </c>
      <c r="F15" s="179"/>
      <c r="G15" s="12"/>
    </row>
    <row r="16" spans="1:7" ht="15" thickBot="1" x14ac:dyDescent="0.4">
      <c r="A16" s="180" t="s">
        <v>118</v>
      </c>
      <c r="B16" s="181">
        <v>1</v>
      </c>
      <c r="C16" s="180" t="s">
        <v>7</v>
      </c>
      <c r="D16" s="181">
        <v>100</v>
      </c>
      <c r="E16" s="181">
        <v>100</v>
      </c>
      <c r="F16" s="179"/>
    </row>
    <row r="17" spans="1:6" ht="15.75" customHeight="1" thickBot="1" x14ac:dyDescent="0.6">
      <c r="A17" s="180" t="s">
        <v>89</v>
      </c>
      <c r="B17" s="181">
        <v>0.02</v>
      </c>
      <c r="C17" s="180" t="s">
        <v>119</v>
      </c>
      <c r="D17" s="183">
        <v>29452</v>
      </c>
      <c r="E17" s="181">
        <v>589.03645830000005</v>
      </c>
      <c r="F17" s="179"/>
    </row>
    <row r="18" spans="1:6" ht="15" thickBot="1" x14ac:dyDescent="0.4">
      <c r="A18" s="179"/>
      <c r="B18" s="179"/>
      <c r="C18" s="179"/>
      <c r="D18" s="179"/>
      <c r="E18" s="181">
        <v>0</v>
      </c>
      <c r="F18" s="179"/>
    </row>
    <row r="19" spans="1:6" ht="15" thickBot="1" x14ac:dyDescent="0.4">
      <c r="A19" s="179"/>
      <c r="B19" s="179"/>
      <c r="C19" s="179"/>
      <c r="D19" s="179"/>
      <c r="E19" s="181">
        <v>0</v>
      </c>
      <c r="F19" s="179"/>
    </row>
    <row r="20" spans="1:6" ht="15" thickBot="1" x14ac:dyDescent="0.4">
      <c r="A20" s="179"/>
      <c r="B20" s="179"/>
      <c r="C20" s="179"/>
      <c r="D20" s="179"/>
      <c r="E20" s="181">
        <v>0</v>
      </c>
      <c r="F20" s="179"/>
    </row>
    <row r="21" spans="1:6" ht="15" thickBot="1" x14ac:dyDescent="0.4">
      <c r="A21" s="179"/>
      <c r="B21" s="179"/>
      <c r="C21" s="179"/>
      <c r="D21" s="179"/>
      <c r="E21" s="181">
        <v>0</v>
      </c>
      <c r="F21" s="179"/>
    </row>
    <row r="22" spans="1:6" ht="15" thickBot="1" x14ac:dyDescent="0.4">
      <c r="A22" s="179"/>
      <c r="B22" s="179"/>
      <c r="C22" s="179"/>
      <c r="D22" s="179"/>
      <c r="E22" s="181">
        <v>0</v>
      </c>
      <c r="F22" s="179"/>
    </row>
    <row r="23" spans="1:6" ht="15" thickBot="1" x14ac:dyDescent="0.4">
      <c r="A23" s="179"/>
      <c r="B23" s="179"/>
      <c r="C23" s="179"/>
      <c r="D23" s="179"/>
      <c r="E23" s="181">
        <v>0</v>
      </c>
      <c r="F23" s="179"/>
    </row>
    <row r="24" spans="1:6" ht="15" thickBot="1" x14ac:dyDescent="0.4">
      <c r="A24" s="187"/>
      <c r="B24" s="187"/>
      <c r="C24" s="187"/>
      <c r="D24" s="187"/>
      <c r="E24" s="188"/>
      <c r="F24" s="187"/>
    </row>
    <row r="25" spans="1:6" ht="15" thickBot="1" x14ac:dyDescent="0.4">
      <c r="A25" s="184" t="s">
        <v>120</v>
      </c>
      <c r="B25" s="185"/>
      <c r="C25" s="185"/>
      <c r="D25" s="185"/>
      <c r="E25" s="185"/>
      <c r="F25" s="186">
        <v>6278.90625</v>
      </c>
    </row>
    <row r="26" spans="1:6" ht="15" thickBot="1" x14ac:dyDescent="0.4">
      <c r="A26" s="179"/>
      <c r="B26" s="180" t="s">
        <v>2</v>
      </c>
      <c r="C26" s="179"/>
      <c r="D26" s="180" t="s">
        <v>3</v>
      </c>
      <c r="E26" s="180" t="s">
        <v>4</v>
      </c>
      <c r="F26" s="179"/>
    </row>
    <row r="27" spans="1:6" ht="15" thickBot="1" x14ac:dyDescent="0.4">
      <c r="A27" s="180" t="s">
        <v>121</v>
      </c>
      <c r="B27" s="186">
        <v>0.01</v>
      </c>
      <c r="C27" s="180" t="s">
        <v>7</v>
      </c>
      <c r="D27" s="182">
        <v>560000</v>
      </c>
      <c r="E27" s="181">
        <v>5600</v>
      </c>
      <c r="F27" s="179"/>
    </row>
    <row r="28" spans="1:6" ht="15" thickBot="1" x14ac:dyDescent="0.4">
      <c r="A28" s="180" t="s">
        <v>118</v>
      </c>
      <c r="B28" s="181">
        <v>1</v>
      </c>
      <c r="C28" s="180" t="s">
        <v>7</v>
      </c>
      <c r="D28" s="181">
        <v>100</v>
      </c>
      <c r="E28" s="181">
        <v>100</v>
      </c>
      <c r="F28" s="179"/>
    </row>
    <row r="29" spans="1:6" ht="17" thickBot="1" x14ac:dyDescent="0.6">
      <c r="A29" s="180" t="s">
        <v>89</v>
      </c>
      <c r="B29" s="181">
        <v>0.02</v>
      </c>
      <c r="C29" s="180" t="s">
        <v>119</v>
      </c>
      <c r="D29" s="183">
        <v>28945</v>
      </c>
      <c r="E29" s="181">
        <v>578.90625</v>
      </c>
      <c r="F29" s="179"/>
    </row>
    <row r="30" spans="1:6" ht="15" thickBot="1" x14ac:dyDescent="0.4">
      <c r="A30" s="179"/>
      <c r="B30" s="179"/>
      <c r="C30" s="179"/>
      <c r="D30" s="179"/>
      <c r="E30" s="181">
        <v>0</v>
      </c>
      <c r="F30" s="179"/>
    </row>
    <row r="31" spans="1:6" ht="15" thickBot="1" x14ac:dyDescent="0.4">
      <c r="A31" s="179"/>
      <c r="B31" s="179"/>
      <c r="C31" s="179"/>
      <c r="D31" s="179"/>
      <c r="E31" s="181">
        <v>0</v>
      </c>
      <c r="F31" s="179"/>
    </row>
    <row r="32" spans="1:6" ht="15" thickBot="1" x14ac:dyDescent="0.4">
      <c r="A32" s="179"/>
      <c r="B32" s="179"/>
      <c r="C32" s="179"/>
      <c r="D32" s="179"/>
      <c r="E32" s="181">
        <v>0</v>
      </c>
      <c r="F32" s="179"/>
    </row>
    <row r="33" spans="1:6" ht="15" thickBot="1" x14ac:dyDescent="0.4">
      <c r="A33" s="179"/>
      <c r="B33" s="179"/>
      <c r="C33" s="179"/>
      <c r="D33" s="179"/>
      <c r="E33" s="181">
        <v>0</v>
      </c>
      <c r="F33" s="179"/>
    </row>
    <row r="34" spans="1:6" ht="15" thickBot="1" x14ac:dyDescent="0.4">
      <c r="A34" s="179"/>
      <c r="B34" s="179"/>
      <c r="C34" s="179"/>
      <c r="D34" s="179"/>
      <c r="E34" s="181">
        <v>0</v>
      </c>
      <c r="F34" s="179"/>
    </row>
    <row r="35" spans="1:6" ht="15" thickBot="1" x14ac:dyDescent="0.4">
      <c r="A35" s="179"/>
      <c r="B35" s="179"/>
      <c r="C35" s="179"/>
      <c r="D35" s="179"/>
      <c r="E35" s="181">
        <v>0</v>
      </c>
      <c r="F35" s="179"/>
    </row>
    <row r="36" spans="1:6" ht="14.5" x14ac:dyDescent="0.35">
      <c r="A36" s="5"/>
      <c r="B36" s="5"/>
      <c r="C36" s="5"/>
      <c r="D36" s="5"/>
      <c r="E36" s="5"/>
      <c r="F36" s="5"/>
    </row>
    <row r="37" spans="1:6" ht="14.5" x14ac:dyDescent="0.35">
      <c r="A37" s="58" t="s">
        <v>201</v>
      </c>
      <c r="B37" s="1"/>
      <c r="C37" s="1"/>
      <c r="D37" s="1"/>
      <c r="E37" s="1"/>
      <c r="F37" s="51">
        <f>SUM(E39:E47)</f>
        <v>1735134.548611111</v>
      </c>
    </row>
    <row r="38" spans="1:6" ht="14.5" x14ac:dyDescent="0.35">
      <c r="A38" s="5"/>
      <c r="B38" s="5" t="s">
        <v>2</v>
      </c>
      <c r="C38" s="5"/>
      <c r="D38" s="5" t="s">
        <v>3</v>
      </c>
      <c r="E38" s="5" t="s">
        <v>4</v>
      </c>
      <c r="F38" s="5"/>
    </row>
    <row r="39" spans="1:6" ht="14.5" x14ac:dyDescent="0.35">
      <c r="A39" s="5" t="s">
        <v>202</v>
      </c>
      <c r="B39" s="5">
        <v>3</v>
      </c>
      <c r="C39" s="5" t="s">
        <v>174</v>
      </c>
      <c r="D39" s="114">
        <v>520000</v>
      </c>
      <c r="E39" s="115">
        <f t="shared" ref="E39:E47" si="0">D39*B39</f>
        <v>1560000</v>
      </c>
      <c r="F39" s="5"/>
    </row>
    <row r="40" spans="1:6" ht="14.5" x14ac:dyDescent="0.35">
      <c r="A40" s="5" t="s">
        <v>203</v>
      </c>
      <c r="B40" s="5">
        <v>1</v>
      </c>
      <c r="C40" s="5" t="s">
        <v>174</v>
      </c>
      <c r="D40" s="114">
        <v>70000</v>
      </c>
      <c r="E40" s="115">
        <f t="shared" si="0"/>
        <v>70000</v>
      </c>
      <c r="F40" s="5"/>
    </row>
    <row r="41" spans="1:6" ht="14.5" x14ac:dyDescent="0.35">
      <c r="A41" s="5" t="s">
        <v>204</v>
      </c>
      <c r="B41" s="5">
        <v>1</v>
      </c>
      <c r="C41" s="5" t="s">
        <v>174</v>
      </c>
      <c r="D41" s="114">
        <v>90000</v>
      </c>
      <c r="E41" s="115">
        <f t="shared" si="0"/>
        <v>90000</v>
      </c>
      <c r="F41" s="5"/>
    </row>
    <row r="42" spans="1:6" ht="14.5" x14ac:dyDescent="0.35">
      <c r="A42" s="5" t="s">
        <v>205</v>
      </c>
      <c r="B42" s="5">
        <v>0.1</v>
      </c>
      <c r="C42" s="5" t="s">
        <v>206</v>
      </c>
      <c r="D42" s="114">
        <v>55000</v>
      </c>
      <c r="E42" s="115">
        <f t="shared" si="0"/>
        <v>5500</v>
      </c>
      <c r="F42" s="5"/>
    </row>
    <row r="43" spans="1:6" ht="15.75" customHeight="1" x14ac:dyDescent="0.55000000000000004">
      <c r="A43" s="5" t="s">
        <v>89</v>
      </c>
      <c r="B43" s="52">
        <f>20/60</f>
        <v>0.33333333333333331</v>
      </c>
      <c r="C43" s="5" t="s">
        <v>119</v>
      </c>
      <c r="D43" s="54">
        <f>'PH Umum 2024'!F37</f>
        <v>28903.645833333332</v>
      </c>
      <c r="E43" s="52">
        <f t="shared" si="0"/>
        <v>9634.5486111111095</v>
      </c>
      <c r="F43" s="5"/>
    </row>
    <row r="44" spans="1:6" ht="14.5" x14ac:dyDescent="0.35">
      <c r="A44" s="5"/>
      <c r="B44" s="5"/>
      <c r="C44" s="5" t="s">
        <v>90</v>
      </c>
      <c r="D44" s="5"/>
      <c r="E44" s="52">
        <f t="shared" si="0"/>
        <v>0</v>
      </c>
      <c r="F44" s="5"/>
    </row>
    <row r="45" spans="1:6" ht="14.5" x14ac:dyDescent="0.35">
      <c r="A45" s="5"/>
      <c r="B45" s="5"/>
      <c r="C45" s="5" t="s">
        <v>90</v>
      </c>
      <c r="D45" s="5"/>
      <c r="E45" s="52">
        <f t="shared" si="0"/>
        <v>0</v>
      </c>
      <c r="F45" s="5"/>
    </row>
    <row r="46" spans="1:6" ht="14.5" x14ac:dyDescent="0.35">
      <c r="A46" s="5"/>
      <c r="B46" s="5"/>
      <c r="C46" s="5" t="s">
        <v>90</v>
      </c>
      <c r="D46" s="5"/>
      <c r="E46" s="52">
        <f t="shared" si="0"/>
        <v>0</v>
      </c>
      <c r="F46" s="5"/>
    </row>
    <row r="47" spans="1:6" ht="14.5" x14ac:dyDescent="0.35">
      <c r="A47" s="5"/>
      <c r="B47" s="5"/>
      <c r="C47" s="5" t="s">
        <v>90</v>
      </c>
      <c r="D47" s="5"/>
      <c r="E47" s="52">
        <f t="shared" si="0"/>
        <v>0</v>
      </c>
      <c r="F47" s="5"/>
    </row>
    <row r="48" spans="1:6" ht="14.5" x14ac:dyDescent="0.35">
      <c r="A48" s="5"/>
      <c r="B48" s="5"/>
      <c r="C48" s="5"/>
      <c r="D48" s="5"/>
      <c r="E48" s="5"/>
      <c r="F48" s="5"/>
    </row>
    <row r="49" spans="1:7" ht="14.5" x14ac:dyDescent="0.35">
      <c r="A49" s="58" t="s">
        <v>207</v>
      </c>
      <c r="B49" s="1"/>
      <c r="C49" s="1"/>
      <c r="D49" s="1"/>
      <c r="E49" s="1"/>
      <c r="F49" s="51">
        <f>SUM(E51:E59)</f>
        <v>1769451.8229166667</v>
      </c>
    </row>
    <row r="50" spans="1:7" ht="14.5" x14ac:dyDescent="0.35">
      <c r="A50" s="5"/>
      <c r="B50" s="5" t="s">
        <v>2</v>
      </c>
      <c r="C50" s="5"/>
      <c r="D50" s="5" t="s">
        <v>3</v>
      </c>
      <c r="E50" s="5" t="s">
        <v>4</v>
      </c>
      <c r="F50" s="5"/>
    </row>
    <row r="51" spans="1:7" ht="14.5" x14ac:dyDescent="0.35">
      <c r="A51" s="5" t="s">
        <v>208</v>
      </c>
      <c r="B51" s="5">
        <v>3</v>
      </c>
      <c r="C51" s="5" t="s">
        <v>174</v>
      </c>
      <c r="D51" s="114">
        <v>520000</v>
      </c>
      <c r="E51" s="115">
        <f t="shared" ref="E51:E59" si="1">D51*B51</f>
        <v>1560000</v>
      </c>
      <c r="F51" s="5"/>
    </row>
    <row r="52" spans="1:7" ht="14.5" x14ac:dyDescent="0.35">
      <c r="A52" s="5" t="s">
        <v>209</v>
      </c>
      <c r="B52" s="5">
        <v>1</v>
      </c>
      <c r="C52" s="5" t="s">
        <v>174</v>
      </c>
      <c r="D52" s="114">
        <v>40000</v>
      </c>
      <c r="E52" s="115">
        <f t="shared" si="1"/>
        <v>40000</v>
      </c>
      <c r="F52" s="5"/>
    </row>
    <row r="53" spans="1:7" ht="14.5" x14ac:dyDescent="0.35">
      <c r="A53" s="5" t="s">
        <v>210</v>
      </c>
      <c r="B53" s="5">
        <v>1</v>
      </c>
      <c r="C53" s="5" t="s">
        <v>174</v>
      </c>
      <c r="D53" s="114">
        <v>155000</v>
      </c>
      <c r="E53" s="115">
        <f t="shared" si="1"/>
        <v>155000</v>
      </c>
      <c r="F53" s="5"/>
    </row>
    <row r="54" spans="1:7" ht="15.75" customHeight="1" x14ac:dyDescent="0.55000000000000004">
      <c r="A54" s="5" t="s">
        <v>89</v>
      </c>
      <c r="B54" s="52">
        <f>30/60</f>
        <v>0.5</v>
      </c>
      <c r="C54" s="5" t="s">
        <v>119</v>
      </c>
      <c r="D54" s="54">
        <f>'PH Umum 2024'!F37</f>
        <v>28903.645833333332</v>
      </c>
      <c r="E54" s="52">
        <f t="shared" si="1"/>
        <v>14451.822916666666</v>
      </c>
      <c r="F54" s="5"/>
    </row>
    <row r="55" spans="1:7" ht="14.5" x14ac:dyDescent="0.35">
      <c r="A55" s="5"/>
      <c r="B55" s="5"/>
      <c r="C55" s="5" t="s">
        <v>90</v>
      </c>
      <c r="D55" s="5"/>
      <c r="E55" s="52">
        <f t="shared" si="1"/>
        <v>0</v>
      </c>
      <c r="F55" s="5"/>
    </row>
    <row r="56" spans="1:7" ht="14.5" x14ac:dyDescent="0.35">
      <c r="A56" s="5"/>
      <c r="B56" s="5"/>
      <c r="C56" s="5" t="s">
        <v>90</v>
      </c>
      <c r="D56" s="5"/>
      <c r="E56" s="52">
        <f t="shared" si="1"/>
        <v>0</v>
      </c>
      <c r="F56" s="5"/>
    </row>
    <row r="57" spans="1:7" ht="14.5" x14ac:dyDescent="0.35">
      <c r="A57" s="5"/>
      <c r="B57" s="5"/>
      <c r="C57" s="5" t="s">
        <v>90</v>
      </c>
      <c r="D57" s="5"/>
      <c r="E57" s="52">
        <f t="shared" si="1"/>
        <v>0</v>
      </c>
      <c r="F57" s="5"/>
    </row>
    <row r="58" spans="1:7" ht="14.5" x14ac:dyDescent="0.35">
      <c r="A58" s="5"/>
      <c r="B58" s="5"/>
      <c r="C58" s="5" t="s">
        <v>90</v>
      </c>
      <c r="D58" s="5"/>
      <c r="E58" s="52">
        <f t="shared" si="1"/>
        <v>0</v>
      </c>
      <c r="F58" s="5"/>
    </row>
    <row r="59" spans="1:7" ht="14.5" x14ac:dyDescent="0.35">
      <c r="A59" s="5"/>
      <c r="B59" s="5"/>
      <c r="C59" s="5" t="s">
        <v>90</v>
      </c>
      <c r="D59" s="5"/>
      <c r="E59" s="52">
        <f t="shared" si="1"/>
        <v>0</v>
      </c>
      <c r="F59" s="5"/>
    </row>
    <row r="60" spans="1:7" ht="14.5" x14ac:dyDescent="0.35">
      <c r="A60" s="5"/>
      <c r="B60" s="5"/>
      <c r="C60" s="5"/>
      <c r="D60" s="5"/>
      <c r="E60" s="5"/>
      <c r="F60" s="5"/>
    </row>
    <row r="61" spans="1:7" ht="14.5" x14ac:dyDescent="0.35">
      <c r="A61" s="1" t="s">
        <v>338</v>
      </c>
      <c r="B61" s="1"/>
      <c r="C61" s="1"/>
      <c r="D61" s="1"/>
      <c r="E61" s="1"/>
      <c r="F61" s="51">
        <f>SUM(E63:E71)</f>
        <v>405</v>
      </c>
    </row>
    <row r="62" spans="1:7" ht="14.5" x14ac:dyDescent="0.35">
      <c r="A62" s="5"/>
      <c r="B62" s="5" t="s">
        <v>2</v>
      </c>
      <c r="C62" s="5"/>
      <c r="D62" s="5" t="s">
        <v>3</v>
      </c>
      <c r="E62" s="5" t="s">
        <v>4</v>
      </c>
      <c r="F62" s="5"/>
    </row>
    <row r="63" spans="1:7" ht="14.5" x14ac:dyDescent="0.35">
      <c r="A63" s="5" t="s">
        <v>337</v>
      </c>
      <c r="B63" s="52">
        <v>1E-3</v>
      </c>
      <c r="C63" s="5" t="s">
        <v>7</v>
      </c>
      <c r="D63" s="53">
        <v>135000</v>
      </c>
      <c r="E63" s="52">
        <f t="shared" ref="E63:E71" si="2">D63*B63</f>
        <v>135</v>
      </c>
      <c r="F63" s="5"/>
      <c r="G63" s="12"/>
    </row>
    <row r="64" spans="1:7" ht="14.5" x14ac:dyDescent="0.35">
      <c r="A64" s="5" t="s">
        <v>118</v>
      </c>
      <c r="B64" s="52">
        <v>1</v>
      </c>
      <c r="C64" s="5" t="s">
        <v>7</v>
      </c>
      <c r="D64" s="52">
        <v>100</v>
      </c>
      <c r="E64" s="52">
        <f t="shared" si="2"/>
        <v>100</v>
      </c>
      <c r="F64" s="5"/>
    </row>
    <row r="65" spans="1:6" ht="14.5" x14ac:dyDescent="0.35">
      <c r="A65" s="5" t="s">
        <v>89</v>
      </c>
      <c r="B65" s="52">
        <v>0.02</v>
      </c>
      <c r="C65" s="5" t="s">
        <v>119</v>
      </c>
      <c r="D65" s="52">
        <v>8500</v>
      </c>
      <c r="E65" s="52">
        <f t="shared" si="2"/>
        <v>170</v>
      </c>
      <c r="F65" s="5"/>
    </row>
    <row r="66" spans="1:6" ht="14.5" x14ac:dyDescent="0.35">
      <c r="A66" s="5"/>
      <c r="B66" s="5"/>
      <c r="C66" s="5"/>
      <c r="D66" s="5"/>
      <c r="E66" s="52">
        <f t="shared" si="2"/>
        <v>0</v>
      </c>
      <c r="F66" s="5"/>
    </row>
    <row r="67" spans="1:6" ht="14.5" x14ac:dyDescent="0.35">
      <c r="A67" s="5"/>
      <c r="B67" s="5"/>
      <c r="C67" s="5"/>
      <c r="D67" s="5"/>
      <c r="E67" s="52">
        <f t="shared" si="2"/>
        <v>0</v>
      </c>
      <c r="F67" s="5"/>
    </row>
    <row r="68" spans="1:6" ht="14.5" x14ac:dyDescent="0.35">
      <c r="A68" s="5"/>
      <c r="B68" s="5"/>
      <c r="C68" s="5"/>
      <c r="D68" s="5"/>
      <c r="E68" s="52">
        <f t="shared" si="2"/>
        <v>0</v>
      </c>
      <c r="F68" s="5"/>
    </row>
    <row r="69" spans="1:6" ht="14.5" x14ac:dyDescent="0.35">
      <c r="A69" s="5"/>
      <c r="B69" s="5"/>
      <c r="C69" s="5"/>
      <c r="D69" s="5"/>
      <c r="E69" s="52">
        <f t="shared" si="2"/>
        <v>0</v>
      </c>
      <c r="F69" s="5"/>
    </row>
    <row r="70" spans="1:6" ht="14.5" x14ac:dyDescent="0.35">
      <c r="A70" s="5"/>
      <c r="B70" s="5"/>
      <c r="C70" s="5"/>
      <c r="D70" s="5"/>
      <c r="E70" s="52">
        <f t="shared" si="2"/>
        <v>0</v>
      </c>
      <c r="F70" s="5"/>
    </row>
    <row r="71" spans="1:6" ht="14.5" x14ac:dyDescent="0.35">
      <c r="A71" s="5"/>
      <c r="B71" s="5"/>
      <c r="C71" s="5"/>
      <c r="D71" s="5"/>
      <c r="E71" s="52">
        <f t="shared" si="2"/>
        <v>0</v>
      </c>
      <c r="F71" s="5"/>
    </row>
    <row r="72" spans="1:6" ht="14.5" x14ac:dyDescent="0.35">
      <c r="A72" s="5"/>
      <c r="B72" s="5"/>
      <c r="C72" s="5"/>
      <c r="D72" s="5"/>
      <c r="E72" s="5"/>
      <c r="F72" s="5"/>
    </row>
    <row r="73" spans="1:6" ht="14.5" x14ac:dyDescent="0.35">
      <c r="A73" s="58" t="s">
        <v>211</v>
      </c>
      <c r="B73" s="1"/>
      <c r="C73" s="1"/>
      <c r="D73" s="1"/>
      <c r="E73" s="1"/>
      <c r="F73" s="51">
        <f>SUM(E75:E83)</f>
        <v>709634.54861111112</v>
      </c>
    </row>
    <row r="74" spans="1:6" ht="14.5" x14ac:dyDescent="0.35">
      <c r="A74" s="5"/>
      <c r="B74" s="5" t="s">
        <v>2</v>
      </c>
      <c r="C74" s="5"/>
      <c r="D74" s="5" t="s">
        <v>3</v>
      </c>
      <c r="E74" s="5" t="s">
        <v>4</v>
      </c>
      <c r="F74" s="5"/>
    </row>
    <row r="75" spans="1:6" ht="14.5" x14ac:dyDescent="0.35">
      <c r="A75" s="5" t="s">
        <v>211</v>
      </c>
      <c r="B75" s="5">
        <v>2</v>
      </c>
      <c r="C75" s="5" t="s">
        <v>90</v>
      </c>
      <c r="D75" s="5">
        <v>350000</v>
      </c>
      <c r="E75" s="52">
        <f t="shared" ref="E75:E83" si="3">D75*B75</f>
        <v>700000</v>
      </c>
      <c r="F75" s="5"/>
    </row>
    <row r="76" spans="1:6" ht="15.75" customHeight="1" x14ac:dyDescent="0.55000000000000004">
      <c r="A76" s="5" t="s">
        <v>89</v>
      </c>
      <c r="B76" s="52">
        <f>20/60</f>
        <v>0.33333333333333331</v>
      </c>
      <c r="C76" s="5" t="s">
        <v>119</v>
      </c>
      <c r="D76" s="54">
        <f>'PH Umum 2024'!F37</f>
        <v>28903.645833333332</v>
      </c>
      <c r="E76" s="52">
        <f t="shared" si="3"/>
        <v>9634.5486111111095</v>
      </c>
      <c r="F76" s="5"/>
    </row>
    <row r="77" spans="1:6" ht="14.5" x14ac:dyDescent="0.35">
      <c r="A77" s="5"/>
      <c r="B77" s="5"/>
      <c r="C77" s="5" t="s">
        <v>90</v>
      </c>
      <c r="D77" s="5"/>
      <c r="E77" s="52">
        <f t="shared" si="3"/>
        <v>0</v>
      </c>
      <c r="F77" s="5"/>
    </row>
    <row r="78" spans="1:6" ht="14.5" x14ac:dyDescent="0.35">
      <c r="A78" s="5"/>
      <c r="B78" s="5"/>
      <c r="C78" s="5" t="s">
        <v>90</v>
      </c>
      <c r="D78" s="5"/>
      <c r="E78" s="52">
        <f t="shared" si="3"/>
        <v>0</v>
      </c>
      <c r="F78" s="5"/>
    </row>
    <row r="79" spans="1:6" ht="14.5" x14ac:dyDescent="0.35">
      <c r="A79" s="5"/>
      <c r="B79" s="5"/>
      <c r="C79" s="5" t="s">
        <v>90</v>
      </c>
      <c r="D79" s="5"/>
      <c r="E79" s="52">
        <f t="shared" si="3"/>
        <v>0</v>
      </c>
      <c r="F79" s="5"/>
    </row>
    <row r="80" spans="1:6" ht="14.5" x14ac:dyDescent="0.35">
      <c r="A80" s="5"/>
      <c r="B80" s="5"/>
      <c r="C80" s="5" t="s">
        <v>90</v>
      </c>
      <c r="D80" s="5"/>
      <c r="E80" s="52">
        <f t="shared" si="3"/>
        <v>0</v>
      </c>
      <c r="F80" s="5"/>
    </row>
    <row r="81" spans="1:6" ht="14.5" x14ac:dyDescent="0.35">
      <c r="A81" s="5"/>
      <c r="B81" s="5"/>
      <c r="C81" s="5" t="s">
        <v>90</v>
      </c>
      <c r="D81" s="5"/>
      <c r="E81" s="52">
        <f t="shared" si="3"/>
        <v>0</v>
      </c>
      <c r="F81" s="5"/>
    </row>
    <row r="82" spans="1:6" ht="14.5" x14ac:dyDescent="0.35">
      <c r="A82" s="5"/>
      <c r="B82" s="5"/>
      <c r="C82" s="5" t="s">
        <v>90</v>
      </c>
      <c r="D82" s="5"/>
      <c r="E82" s="52">
        <f t="shared" si="3"/>
        <v>0</v>
      </c>
      <c r="F82" s="5"/>
    </row>
    <row r="83" spans="1:6" ht="14.5" x14ac:dyDescent="0.35">
      <c r="A83" s="5"/>
      <c r="B83" s="5"/>
      <c r="C83" s="5" t="s">
        <v>90</v>
      </c>
      <c r="D83" s="5"/>
      <c r="E83" s="52">
        <f t="shared" si="3"/>
        <v>0</v>
      </c>
      <c r="F83" s="5"/>
    </row>
    <row r="84" spans="1:6" ht="14.5" x14ac:dyDescent="0.35">
      <c r="A84" s="5"/>
      <c r="B84" s="5"/>
      <c r="C84" s="5"/>
      <c r="D84" s="5"/>
      <c r="E84" s="5"/>
      <c r="F84" s="5"/>
    </row>
    <row r="85" spans="1:6" ht="14.5" x14ac:dyDescent="0.35">
      <c r="A85" s="1" t="s">
        <v>122</v>
      </c>
      <c r="B85" s="1"/>
      <c r="C85" s="1"/>
      <c r="D85" s="1"/>
      <c r="E85" s="1"/>
      <c r="F85" s="51">
        <f>SUM(E87:E95)</f>
        <v>0</v>
      </c>
    </row>
    <row r="86" spans="1:6" ht="14.5" x14ac:dyDescent="0.35">
      <c r="A86" s="5"/>
      <c r="B86" s="5" t="s">
        <v>2</v>
      </c>
      <c r="C86" s="5"/>
      <c r="D86" s="5" t="s">
        <v>3</v>
      </c>
      <c r="E86" s="5" t="s">
        <v>4</v>
      </c>
      <c r="F86" s="5"/>
    </row>
    <row r="87" spans="1:6" ht="14.5" x14ac:dyDescent="0.35">
      <c r="A87" s="5"/>
      <c r="B87" s="5"/>
      <c r="C87" s="5" t="s">
        <v>90</v>
      </c>
      <c r="D87" s="5"/>
      <c r="E87" s="52">
        <f t="shared" ref="E87:E95" si="4">D87*B87</f>
        <v>0</v>
      </c>
      <c r="F87" s="5"/>
    </row>
    <row r="88" spans="1:6" ht="14.5" x14ac:dyDescent="0.35">
      <c r="A88" s="5"/>
      <c r="B88" s="5"/>
      <c r="C88" s="5" t="s">
        <v>90</v>
      </c>
      <c r="D88" s="5"/>
      <c r="E88" s="52">
        <f t="shared" si="4"/>
        <v>0</v>
      </c>
      <c r="F88" s="5"/>
    </row>
    <row r="89" spans="1:6" ht="14.5" x14ac:dyDescent="0.35">
      <c r="A89" s="5"/>
      <c r="B89" s="5"/>
      <c r="C89" s="5" t="s">
        <v>90</v>
      </c>
      <c r="D89" s="5"/>
      <c r="E89" s="52">
        <f t="shared" si="4"/>
        <v>0</v>
      </c>
      <c r="F89" s="5"/>
    </row>
    <row r="90" spans="1:6" ht="14.5" x14ac:dyDescent="0.35">
      <c r="A90" s="5"/>
      <c r="B90" s="5"/>
      <c r="C90" s="5" t="s">
        <v>90</v>
      </c>
      <c r="D90" s="5"/>
      <c r="E90" s="52">
        <f t="shared" si="4"/>
        <v>0</v>
      </c>
      <c r="F90" s="5"/>
    </row>
    <row r="91" spans="1:6" ht="14.5" x14ac:dyDescent="0.35">
      <c r="A91" s="5"/>
      <c r="B91" s="5"/>
      <c r="C91" s="5" t="s">
        <v>90</v>
      </c>
      <c r="D91" s="5"/>
      <c r="E91" s="52">
        <f t="shared" si="4"/>
        <v>0</v>
      </c>
      <c r="F91" s="5"/>
    </row>
    <row r="92" spans="1:6" ht="14.5" x14ac:dyDescent="0.35">
      <c r="A92" s="5"/>
      <c r="B92" s="5"/>
      <c r="C92" s="5" t="s">
        <v>90</v>
      </c>
      <c r="D92" s="5"/>
      <c r="E92" s="52">
        <f t="shared" si="4"/>
        <v>0</v>
      </c>
      <c r="F92" s="5"/>
    </row>
    <row r="93" spans="1:6" ht="14.5" x14ac:dyDescent="0.35">
      <c r="A93" s="5"/>
      <c r="B93" s="5"/>
      <c r="C93" s="5" t="s">
        <v>90</v>
      </c>
      <c r="D93" s="5"/>
      <c r="E93" s="52">
        <f t="shared" si="4"/>
        <v>0</v>
      </c>
      <c r="F93" s="5"/>
    </row>
    <row r="94" spans="1:6" ht="14.5" x14ac:dyDescent="0.35">
      <c r="A94" s="5"/>
      <c r="B94" s="5"/>
      <c r="C94" s="5" t="s">
        <v>90</v>
      </c>
      <c r="D94" s="5"/>
      <c r="E94" s="52">
        <f t="shared" si="4"/>
        <v>0</v>
      </c>
      <c r="F94" s="5"/>
    </row>
    <row r="95" spans="1:6" ht="14.5" x14ac:dyDescent="0.35">
      <c r="A95" s="5"/>
      <c r="B95" s="5"/>
      <c r="C95" s="5" t="s">
        <v>90</v>
      </c>
      <c r="D95" s="5"/>
      <c r="E95" s="52">
        <f t="shared" si="4"/>
        <v>0</v>
      </c>
      <c r="F95" s="5"/>
    </row>
    <row r="96" spans="1:6" ht="14.5" x14ac:dyDescent="0.35">
      <c r="A96" s="5"/>
      <c r="B96" s="5"/>
      <c r="C96" s="5"/>
      <c r="D96" s="5"/>
      <c r="E96" s="5"/>
      <c r="F96" s="5"/>
    </row>
    <row r="97" spans="1:6" ht="14.5" x14ac:dyDescent="0.35">
      <c r="A97" s="1" t="s">
        <v>122</v>
      </c>
      <c r="B97" s="1"/>
      <c r="C97" s="1"/>
      <c r="D97" s="1"/>
      <c r="E97" s="1"/>
      <c r="F97" s="51">
        <f>SUM(E99:E107)</f>
        <v>0</v>
      </c>
    </row>
    <row r="98" spans="1:6" ht="14.5" x14ac:dyDescent="0.35">
      <c r="A98" s="5"/>
      <c r="B98" s="5" t="s">
        <v>2</v>
      </c>
      <c r="C98" s="5"/>
      <c r="D98" s="5" t="s">
        <v>3</v>
      </c>
      <c r="E98" s="5" t="s">
        <v>4</v>
      </c>
      <c r="F98" s="5"/>
    </row>
    <row r="99" spans="1:6" ht="14.5" x14ac:dyDescent="0.35">
      <c r="A99" s="5"/>
      <c r="B99" s="5"/>
      <c r="C99" s="5" t="s">
        <v>90</v>
      </c>
      <c r="D99" s="5"/>
      <c r="E99" s="52">
        <f t="shared" ref="E99:E107" si="5">D99*B99</f>
        <v>0</v>
      </c>
      <c r="F99" s="5"/>
    </row>
    <row r="100" spans="1:6" ht="14.5" x14ac:dyDescent="0.35">
      <c r="A100" s="5"/>
      <c r="B100" s="5"/>
      <c r="C100" s="5" t="s">
        <v>90</v>
      </c>
      <c r="D100" s="5"/>
      <c r="E100" s="52">
        <f t="shared" si="5"/>
        <v>0</v>
      </c>
      <c r="F100" s="5"/>
    </row>
    <row r="101" spans="1:6" ht="14.5" x14ac:dyDescent="0.35">
      <c r="A101" s="5"/>
      <c r="B101" s="5"/>
      <c r="C101" s="5" t="s">
        <v>90</v>
      </c>
      <c r="D101" s="5"/>
      <c r="E101" s="52">
        <f t="shared" si="5"/>
        <v>0</v>
      </c>
      <c r="F101" s="5"/>
    </row>
    <row r="102" spans="1:6" ht="14.5" x14ac:dyDescent="0.35">
      <c r="A102" s="5"/>
      <c r="B102" s="5"/>
      <c r="C102" s="5" t="s">
        <v>90</v>
      </c>
      <c r="D102" s="5"/>
      <c r="E102" s="52">
        <f t="shared" si="5"/>
        <v>0</v>
      </c>
      <c r="F102" s="5"/>
    </row>
    <row r="103" spans="1:6" ht="14.5" x14ac:dyDescent="0.35">
      <c r="A103" s="5"/>
      <c r="B103" s="5"/>
      <c r="C103" s="5" t="s">
        <v>90</v>
      </c>
      <c r="D103" s="5"/>
      <c r="E103" s="52">
        <f t="shared" si="5"/>
        <v>0</v>
      </c>
      <c r="F103" s="5"/>
    </row>
    <row r="104" spans="1:6" ht="14.5" x14ac:dyDescent="0.35">
      <c r="A104" s="5"/>
      <c r="B104" s="5"/>
      <c r="C104" s="5" t="s">
        <v>90</v>
      </c>
      <c r="D104" s="5"/>
      <c r="E104" s="52">
        <f t="shared" si="5"/>
        <v>0</v>
      </c>
      <c r="F104" s="5"/>
    </row>
    <row r="105" spans="1:6" ht="14.5" x14ac:dyDescent="0.35">
      <c r="A105" s="5"/>
      <c r="B105" s="5"/>
      <c r="C105" s="5" t="s">
        <v>90</v>
      </c>
      <c r="D105" s="5"/>
      <c r="E105" s="52">
        <f t="shared" si="5"/>
        <v>0</v>
      </c>
      <c r="F105" s="5"/>
    </row>
    <row r="106" spans="1:6" ht="14.5" x14ac:dyDescent="0.35">
      <c r="A106" s="5"/>
      <c r="B106" s="5"/>
      <c r="C106" s="5" t="s">
        <v>90</v>
      </c>
      <c r="D106" s="5"/>
      <c r="E106" s="52">
        <f t="shared" si="5"/>
        <v>0</v>
      </c>
      <c r="F106" s="5"/>
    </row>
    <row r="107" spans="1:6" ht="14.5" x14ac:dyDescent="0.35">
      <c r="A107" s="5"/>
      <c r="B107" s="5"/>
      <c r="C107" s="5" t="s">
        <v>90</v>
      </c>
      <c r="D107" s="5"/>
      <c r="E107" s="52">
        <f t="shared" si="5"/>
        <v>0</v>
      </c>
      <c r="F107" s="5"/>
    </row>
    <row r="108" spans="1:6" ht="14.5" x14ac:dyDescent="0.35">
      <c r="A108" s="5"/>
      <c r="B108" s="5"/>
      <c r="C108" s="5"/>
      <c r="D108" s="5"/>
      <c r="E108" s="5"/>
      <c r="F108" s="5"/>
    </row>
    <row r="109" spans="1:6" ht="14.5" x14ac:dyDescent="0.35">
      <c r="A109" s="1" t="s">
        <v>124</v>
      </c>
      <c r="B109" s="1"/>
      <c r="C109" s="1"/>
      <c r="D109" s="1"/>
      <c r="E109" s="1"/>
      <c r="F109" s="51">
        <f>SUM(E111:E119)</f>
        <v>2500</v>
      </c>
    </row>
    <row r="110" spans="1:6" ht="14.5" x14ac:dyDescent="0.35">
      <c r="A110" s="5"/>
      <c r="B110" s="5" t="s">
        <v>2</v>
      </c>
      <c r="C110" s="5"/>
      <c r="D110" s="5" t="s">
        <v>3</v>
      </c>
      <c r="E110" s="5" t="s">
        <v>4</v>
      </c>
      <c r="F110" s="5"/>
    </row>
    <row r="111" spans="1:6" ht="14.5" x14ac:dyDescent="0.35">
      <c r="A111" s="5" t="s">
        <v>124</v>
      </c>
      <c r="B111" s="52">
        <v>1</v>
      </c>
      <c r="C111" s="5" t="s">
        <v>62</v>
      </c>
      <c r="D111" s="52">
        <v>2500</v>
      </c>
      <c r="E111" s="52">
        <f t="shared" ref="E111:E119" si="6">D111*B111</f>
        <v>2500</v>
      </c>
      <c r="F111" s="5"/>
    </row>
    <row r="112" spans="1:6" ht="14.5" x14ac:dyDescent="0.35">
      <c r="A112" s="5"/>
      <c r="B112" s="5"/>
      <c r="C112" s="5"/>
      <c r="D112" s="5"/>
      <c r="E112" s="52">
        <f t="shared" si="6"/>
        <v>0</v>
      </c>
      <c r="F112" s="5"/>
    </row>
    <row r="113" spans="1:6" ht="14.5" x14ac:dyDescent="0.35">
      <c r="A113" s="5"/>
      <c r="B113" s="5"/>
      <c r="C113" s="5"/>
      <c r="D113" s="5"/>
      <c r="E113" s="52">
        <f t="shared" si="6"/>
        <v>0</v>
      </c>
      <c r="F113" s="5"/>
    </row>
    <row r="114" spans="1:6" ht="14.5" x14ac:dyDescent="0.35">
      <c r="A114" s="5"/>
      <c r="B114" s="5"/>
      <c r="C114" s="5"/>
      <c r="D114" s="5"/>
      <c r="E114" s="52">
        <f t="shared" si="6"/>
        <v>0</v>
      </c>
      <c r="F114" s="5"/>
    </row>
    <row r="115" spans="1:6" ht="14.5" x14ac:dyDescent="0.35">
      <c r="A115" s="5"/>
      <c r="B115" s="5"/>
      <c r="C115" s="5"/>
      <c r="D115" s="5"/>
      <c r="E115" s="52">
        <f t="shared" si="6"/>
        <v>0</v>
      </c>
      <c r="F115" s="5"/>
    </row>
    <row r="116" spans="1:6" ht="14.5" x14ac:dyDescent="0.35">
      <c r="A116" s="5"/>
      <c r="B116" s="5"/>
      <c r="C116" s="5"/>
      <c r="D116" s="5"/>
      <c r="E116" s="52">
        <f t="shared" si="6"/>
        <v>0</v>
      </c>
      <c r="F116" s="5"/>
    </row>
    <row r="117" spans="1:6" ht="14.5" x14ac:dyDescent="0.35">
      <c r="A117" s="5"/>
      <c r="B117" s="5"/>
      <c r="C117" s="5"/>
      <c r="D117" s="5"/>
      <c r="E117" s="52">
        <f t="shared" si="6"/>
        <v>0</v>
      </c>
      <c r="F117" s="5"/>
    </row>
    <row r="118" spans="1:6" ht="14.5" x14ac:dyDescent="0.35">
      <c r="A118" s="5"/>
      <c r="B118" s="5"/>
      <c r="C118" s="5"/>
      <c r="D118" s="5"/>
      <c r="E118" s="52">
        <f t="shared" si="6"/>
        <v>0</v>
      </c>
      <c r="F118" s="5"/>
    </row>
    <row r="119" spans="1:6" ht="14.5" x14ac:dyDescent="0.35">
      <c r="A119" s="5"/>
      <c r="B119" s="5"/>
      <c r="C119" s="5"/>
      <c r="D119" s="5"/>
      <c r="E119" s="52">
        <f t="shared" si="6"/>
        <v>0</v>
      </c>
      <c r="F119" s="5"/>
    </row>
    <row r="120" spans="1:6" ht="14.5" x14ac:dyDescent="0.35">
      <c r="A120" s="5"/>
      <c r="B120" s="5"/>
      <c r="C120" s="5"/>
      <c r="D120" s="5"/>
      <c r="E120" s="5"/>
      <c r="F120" s="5"/>
    </row>
    <row r="121" spans="1:6" ht="14.5" x14ac:dyDescent="0.35">
      <c r="A121" s="1" t="s">
        <v>125</v>
      </c>
      <c r="B121" s="1"/>
      <c r="C121" s="1"/>
      <c r="D121" s="1"/>
      <c r="E121" s="1"/>
      <c r="F121" s="51">
        <f>SUM(E123:E131)</f>
        <v>2500</v>
      </c>
    </row>
    <row r="122" spans="1:6" ht="14.5" x14ac:dyDescent="0.35">
      <c r="A122" s="5"/>
      <c r="B122" s="5" t="s">
        <v>2</v>
      </c>
      <c r="C122" s="5"/>
      <c r="D122" s="5" t="s">
        <v>3</v>
      </c>
      <c r="E122" s="5" t="s">
        <v>4</v>
      </c>
      <c r="F122" s="5"/>
    </row>
    <row r="123" spans="1:6" ht="14.5" x14ac:dyDescent="0.35">
      <c r="A123" s="5" t="s">
        <v>125</v>
      </c>
      <c r="B123" s="52">
        <v>1</v>
      </c>
      <c r="C123" s="5" t="s">
        <v>62</v>
      </c>
      <c r="D123" s="52">
        <v>2500</v>
      </c>
      <c r="E123" s="52">
        <f t="shared" ref="E123:E131" si="7">D123*B123</f>
        <v>2500</v>
      </c>
      <c r="F123" s="5"/>
    </row>
    <row r="124" spans="1:6" ht="14.5" x14ac:dyDescent="0.35">
      <c r="A124" s="5"/>
      <c r="B124" s="5"/>
      <c r="C124" s="5"/>
      <c r="D124" s="5"/>
      <c r="E124" s="52">
        <f t="shared" si="7"/>
        <v>0</v>
      </c>
      <c r="F124" s="5"/>
    </row>
    <row r="125" spans="1:6" ht="14.5" x14ac:dyDescent="0.35">
      <c r="A125" s="5"/>
      <c r="B125" s="5"/>
      <c r="C125" s="5"/>
      <c r="D125" s="5"/>
      <c r="E125" s="52">
        <f t="shared" si="7"/>
        <v>0</v>
      </c>
      <c r="F125" s="5"/>
    </row>
    <row r="126" spans="1:6" ht="14.5" x14ac:dyDescent="0.35">
      <c r="A126" s="5"/>
      <c r="B126" s="5"/>
      <c r="C126" s="5"/>
      <c r="D126" s="5"/>
      <c r="E126" s="52">
        <f t="shared" si="7"/>
        <v>0</v>
      </c>
      <c r="F126" s="5"/>
    </row>
    <row r="127" spans="1:6" ht="14.5" x14ac:dyDescent="0.35">
      <c r="A127" s="5"/>
      <c r="B127" s="5"/>
      <c r="C127" s="5"/>
      <c r="D127" s="5"/>
      <c r="E127" s="52">
        <f t="shared" si="7"/>
        <v>0</v>
      </c>
      <c r="F127" s="5"/>
    </row>
    <row r="128" spans="1:6" ht="14.5" x14ac:dyDescent="0.35">
      <c r="A128" s="5"/>
      <c r="B128" s="5"/>
      <c r="C128" s="5"/>
      <c r="D128" s="5"/>
      <c r="E128" s="52">
        <f t="shared" si="7"/>
        <v>0</v>
      </c>
      <c r="F128" s="5"/>
    </row>
    <row r="129" spans="1:6" ht="14.5" x14ac:dyDescent="0.35">
      <c r="A129" s="5"/>
      <c r="B129" s="5"/>
      <c r="C129" s="5"/>
      <c r="D129" s="5"/>
      <c r="E129" s="52">
        <f t="shared" si="7"/>
        <v>0</v>
      </c>
      <c r="F129" s="5"/>
    </row>
    <row r="130" spans="1:6" ht="14.5" x14ac:dyDescent="0.35">
      <c r="A130" s="5"/>
      <c r="B130" s="5"/>
      <c r="C130" s="5"/>
      <c r="D130" s="5"/>
      <c r="E130" s="52">
        <f t="shared" si="7"/>
        <v>0</v>
      </c>
      <c r="F130" s="5"/>
    </row>
    <row r="131" spans="1:6" ht="14.5" x14ac:dyDescent="0.35">
      <c r="A131" s="5"/>
      <c r="B131" s="5"/>
      <c r="C131" s="5"/>
      <c r="D131" s="5"/>
      <c r="E131" s="52">
        <f t="shared" si="7"/>
        <v>0</v>
      </c>
      <c r="F131" s="5"/>
    </row>
    <row r="132" spans="1:6" ht="14.5" x14ac:dyDescent="0.35">
      <c r="A132" s="5"/>
      <c r="B132" s="5"/>
      <c r="C132" s="5"/>
      <c r="D132" s="5"/>
      <c r="E132" s="5"/>
      <c r="F132" s="5"/>
    </row>
    <row r="133" spans="1:6" ht="14.5" x14ac:dyDescent="0.35">
      <c r="A133" s="1" t="s">
        <v>122</v>
      </c>
      <c r="B133" s="1"/>
      <c r="C133" s="1"/>
      <c r="D133" s="1"/>
      <c r="E133" s="1"/>
      <c r="F133" s="51">
        <f>SUM(E135:E143)</f>
        <v>0</v>
      </c>
    </row>
    <row r="134" spans="1:6" ht="14.5" x14ac:dyDescent="0.35">
      <c r="A134" s="5"/>
      <c r="B134" s="5" t="s">
        <v>2</v>
      </c>
      <c r="C134" s="5"/>
      <c r="D134" s="5" t="s">
        <v>3</v>
      </c>
      <c r="E134" s="5" t="s">
        <v>4</v>
      </c>
      <c r="F134" s="5"/>
    </row>
    <row r="135" spans="1:6" ht="14.5" x14ac:dyDescent="0.35">
      <c r="A135" s="5"/>
      <c r="B135" s="5"/>
      <c r="C135" s="5" t="s">
        <v>90</v>
      </c>
      <c r="D135" s="5"/>
      <c r="E135" s="52">
        <f t="shared" ref="E135:E143" si="8">D135*B135</f>
        <v>0</v>
      </c>
      <c r="F135" s="5"/>
    </row>
    <row r="136" spans="1:6" ht="14.5" x14ac:dyDescent="0.35">
      <c r="A136" s="5"/>
      <c r="B136" s="5"/>
      <c r="C136" s="5" t="s">
        <v>90</v>
      </c>
      <c r="D136" s="5"/>
      <c r="E136" s="52">
        <f t="shared" si="8"/>
        <v>0</v>
      </c>
      <c r="F136" s="5"/>
    </row>
    <row r="137" spans="1:6" ht="14.5" x14ac:dyDescent="0.35">
      <c r="A137" s="5"/>
      <c r="B137" s="5"/>
      <c r="C137" s="5" t="s">
        <v>90</v>
      </c>
      <c r="D137" s="5"/>
      <c r="E137" s="52">
        <f t="shared" si="8"/>
        <v>0</v>
      </c>
      <c r="F137" s="5"/>
    </row>
    <row r="138" spans="1:6" ht="14.5" x14ac:dyDescent="0.35">
      <c r="A138" s="5"/>
      <c r="B138" s="5"/>
      <c r="C138" s="5" t="s">
        <v>90</v>
      </c>
      <c r="D138" s="5"/>
      <c r="E138" s="52">
        <f t="shared" si="8"/>
        <v>0</v>
      </c>
      <c r="F138" s="5"/>
    </row>
    <row r="139" spans="1:6" ht="14.5" x14ac:dyDescent="0.35">
      <c r="A139" s="5"/>
      <c r="B139" s="5"/>
      <c r="C139" s="5" t="s">
        <v>90</v>
      </c>
      <c r="D139" s="5"/>
      <c r="E139" s="52">
        <f t="shared" si="8"/>
        <v>0</v>
      </c>
      <c r="F139" s="5"/>
    </row>
    <row r="140" spans="1:6" ht="14.5" x14ac:dyDescent="0.35">
      <c r="A140" s="5"/>
      <c r="B140" s="5"/>
      <c r="C140" s="5" t="s">
        <v>90</v>
      </c>
      <c r="D140" s="5"/>
      <c r="E140" s="52">
        <f t="shared" si="8"/>
        <v>0</v>
      </c>
      <c r="F140" s="5"/>
    </row>
    <row r="141" spans="1:6" ht="14.5" x14ac:dyDescent="0.35">
      <c r="A141" s="5"/>
      <c r="B141" s="5"/>
      <c r="C141" s="5" t="s">
        <v>90</v>
      </c>
      <c r="D141" s="5"/>
      <c r="E141" s="52">
        <f t="shared" si="8"/>
        <v>0</v>
      </c>
      <c r="F141" s="5"/>
    </row>
    <row r="142" spans="1:6" ht="14.5" x14ac:dyDescent="0.35">
      <c r="A142" s="5"/>
      <c r="B142" s="5"/>
      <c r="C142" s="5" t="s">
        <v>90</v>
      </c>
      <c r="D142" s="5"/>
      <c r="E142" s="52">
        <f t="shared" si="8"/>
        <v>0</v>
      </c>
      <c r="F142" s="5"/>
    </row>
    <row r="143" spans="1:6" ht="14.5" x14ac:dyDescent="0.35">
      <c r="A143" s="5"/>
      <c r="B143" s="5"/>
      <c r="C143" s="5" t="s">
        <v>90</v>
      </c>
      <c r="D143" s="5"/>
      <c r="E143" s="52">
        <f t="shared" si="8"/>
        <v>0</v>
      </c>
      <c r="F143" s="5"/>
    </row>
    <row r="144" spans="1:6" ht="14.5" x14ac:dyDescent="0.35">
      <c r="A144" s="5"/>
      <c r="B144" s="5"/>
      <c r="C144" s="5"/>
      <c r="D144" s="5"/>
      <c r="E144" s="5"/>
      <c r="F144" s="5"/>
    </row>
    <row r="145" spans="1:6" ht="14.5" x14ac:dyDescent="0.35">
      <c r="A145" s="1" t="s">
        <v>122</v>
      </c>
      <c r="B145" s="1"/>
      <c r="C145" s="1"/>
      <c r="D145" s="1"/>
      <c r="E145" s="1"/>
      <c r="F145" s="51">
        <f>SUM(E147:E155)</f>
        <v>0</v>
      </c>
    </row>
    <row r="146" spans="1:6" ht="14.5" x14ac:dyDescent="0.35">
      <c r="A146" s="5"/>
      <c r="B146" s="5" t="s">
        <v>2</v>
      </c>
      <c r="C146" s="5"/>
      <c r="D146" s="5" t="s">
        <v>3</v>
      </c>
      <c r="E146" s="5" t="s">
        <v>4</v>
      </c>
      <c r="F146" s="5"/>
    </row>
    <row r="147" spans="1:6" ht="14.5" x14ac:dyDescent="0.35">
      <c r="A147" s="5"/>
      <c r="B147" s="5"/>
      <c r="C147" s="5" t="s">
        <v>90</v>
      </c>
      <c r="D147" s="5"/>
      <c r="E147" s="52">
        <f t="shared" ref="E147:E155" si="9">D147*B147</f>
        <v>0</v>
      </c>
      <c r="F147" s="5"/>
    </row>
    <row r="148" spans="1:6" ht="14.5" x14ac:dyDescent="0.35">
      <c r="A148" s="5"/>
      <c r="B148" s="5"/>
      <c r="C148" s="5" t="s">
        <v>90</v>
      </c>
      <c r="D148" s="5"/>
      <c r="E148" s="52">
        <f t="shared" si="9"/>
        <v>0</v>
      </c>
      <c r="F148" s="5"/>
    </row>
    <row r="149" spans="1:6" ht="14.5" x14ac:dyDescent="0.35">
      <c r="A149" s="5"/>
      <c r="B149" s="5"/>
      <c r="C149" s="5" t="s">
        <v>90</v>
      </c>
      <c r="D149" s="5"/>
      <c r="E149" s="52">
        <f t="shared" si="9"/>
        <v>0</v>
      </c>
      <c r="F149" s="5"/>
    </row>
    <row r="150" spans="1:6" ht="14.5" x14ac:dyDescent="0.35">
      <c r="A150" s="5"/>
      <c r="B150" s="5"/>
      <c r="C150" s="5" t="s">
        <v>90</v>
      </c>
      <c r="D150" s="5"/>
      <c r="E150" s="52">
        <f t="shared" si="9"/>
        <v>0</v>
      </c>
      <c r="F150" s="5"/>
    </row>
    <row r="151" spans="1:6" ht="14.5" x14ac:dyDescent="0.35">
      <c r="A151" s="5"/>
      <c r="B151" s="5"/>
      <c r="C151" s="5" t="s">
        <v>90</v>
      </c>
      <c r="D151" s="5"/>
      <c r="E151" s="52">
        <f t="shared" si="9"/>
        <v>0</v>
      </c>
      <c r="F151" s="5"/>
    </row>
    <row r="152" spans="1:6" ht="14.5" x14ac:dyDescent="0.35">
      <c r="A152" s="5"/>
      <c r="B152" s="5"/>
      <c r="C152" s="5" t="s">
        <v>90</v>
      </c>
      <c r="D152" s="5"/>
      <c r="E152" s="52">
        <f t="shared" si="9"/>
        <v>0</v>
      </c>
      <c r="F152" s="5"/>
    </row>
    <row r="153" spans="1:6" ht="14.5" x14ac:dyDescent="0.35">
      <c r="A153" s="5"/>
      <c r="B153" s="5"/>
      <c r="C153" s="5" t="s">
        <v>90</v>
      </c>
      <c r="D153" s="5"/>
      <c r="E153" s="52">
        <f t="shared" si="9"/>
        <v>0</v>
      </c>
      <c r="F153" s="5"/>
    </row>
    <row r="154" spans="1:6" ht="14.5" x14ac:dyDescent="0.35">
      <c r="A154" s="5"/>
      <c r="B154" s="5"/>
      <c r="C154" s="5" t="s">
        <v>90</v>
      </c>
      <c r="D154" s="5"/>
      <c r="E154" s="52">
        <f t="shared" si="9"/>
        <v>0</v>
      </c>
      <c r="F154" s="5"/>
    </row>
    <row r="155" spans="1:6" ht="14.5" x14ac:dyDescent="0.35">
      <c r="A155" s="5"/>
      <c r="B155" s="5"/>
      <c r="C155" s="5" t="s">
        <v>90</v>
      </c>
      <c r="D155" s="5"/>
      <c r="E155" s="52">
        <f t="shared" si="9"/>
        <v>0</v>
      </c>
      <c r="F155" s="5"/>
    </row>
    <row r="156" spans="1:6" ht="14.5" x14ac:dyDescent="0.35">
      <c r="A156" s="5"/>
      <c r="B156" s="5"/>
      <c r="C156" s="5"/>
      <c r="D156" s="5"/>
      <c r="E156" s="5"/>
      <c r="F156" s="5"/>
    </row>
    <row r="157" spans="1:6" ht="14.5" x14ac:dyDescent="0.35">
      <c r="A157" s="1" t="s">
        <v>126</v>
      </c>
      <c r="B157" s="1"/>
      <c r="C157" s="1"/>
      <c r="D157" s="1"/>
      <c r="E157" s="1"/>
      <c r="F157" s="51">
        <f>SUM(E159:E167)</f>
        <v>138000</v>
      </c>
    </row>
    <row r="158" spans="1:6" ht="14.5" x14ac:dyDescent="0.35">
      <c r="A158" s="5"/>
      <c r="B158" s="5" t="s">
        <v>2</v>
      </c>
      <c r="C158" s="5"/>
      <c r="D158" s="5" t="s">
        <v>3</v>
      </c>
      <c r="E158" s="5" t="s">
        <v>4</v>
      </c>
      <c r="F158" s="5"/>
    </row>
    <row r="159" spans="1:6" ht="14.5" x14ac:dyDescent="0.35">
      <c r="A159" s="5" t="s">
        <v>126</v>
      </c>
      <c r="B159" s="52">
        <v>0.3</v>
      </c>
      <c r="C159" s="5" t="s">
        <v>62</v>
      </c>
      <c r="D159" s="52">
        <v>460000</v>
      </c>
      <c r="E159" s="52">
        <f t="shared" ref="E159:E167" si="10">D159*B159</f>
        <v>138000</v>
      </c>
      <c r="F159" s="5"/>
    </row>
    <row r="160" spans="1:6" ht="14.5" x14ac:dyDescent="0.35">
      <c r="A160" s="5"/>
      <c r="B160" s="5"/>
      <c r="C160" s="5"/>
      <c r="D160" s="5"/>
      <c r="E160" s="52">
        <f t="shared" si="10"/>
        <v>0</v>
      </c>
      <c r="F160" s="5"/>
    </row>
    <row r="161" spans="1:6" ht="14.5" x14ac:dyDescent="0.35">
      <c r="A161" s="5"/>
      <c r="B161" s="5"/>
      <c r="C161" s="5"/>
      <c r="D161" s="5"/>
      <c r="E161" s="52">
        <f t="shared" si="10"/>
        <v>0</v>
      </c>
      <c r="F161" s="5"/>
    </row>
    <row r="162" spans="1:6" ht="14.5" x14ac:dyDescent="0.35">
      <c r="A162" s="5"/>
      <c r="B162" s="5"/>
      <c r="C162" s="5"/>
      <c r="D162" s="5"/>
      <c r="E162" s="52">
        <f t="shared" si="10"/>
        <v>0</v>
      </c>
      <c r="F162" s="5"/>
    </row>
    <row r="163" spans="1:6" ht="14.5" x14ac:dyDescent="0.35">
      <c r="A163" s="5"/>
      <c r="B163" s="5"/>
      <c r="C163" s="5"/>
      <c r="D163" s="5"/>
      <c r="E163" s="52">
        <f t="shared" si="10"/>
        <v>0</v>
      </c>
      <c r="F163" s="5"/>
    </row>
    <row r="164" spans="1:6" ht="14.5" x14ac:dyDescent="0.35">
      <c r="A164" s="5"/>
      <c r="B164" s="5"/>
      <c r="C164" s="5"/>
      <c r="D164" s="5"/>
      <c r="E164" s="52">
        <f t="shared" si="10"/>
        <v>0</v>
      </c>
      <c r="F164" s="5"/>
    </row>
    <row r="165" spans="1:6" ht="14.5" x14ac:dyDescent="0.35">
      <c r="A165" s="5"/>
      <c r="B165" s="5"/>
      <c r="C165" s="5"/>
      <c r="D165" s="5"/>
      <c r="E165" s="52">
        <f t="shared" si="10"/>
        <v>0</v>
      </c>
      <c r="F165" s="5"/>
    </row>
    <row r="166" spans="1:6" ht="14.5" x14ac:dyDescent="0.35">
      <c r="A166" s="5"/>
      <c r="B166" s="5"/>
      <c r="C166" s="5"/>
      <c r="D166" s="5"/>
      <c r="E166" s="52">
        <f t="shared" si="10"/>
        <v>0</v>
      </c>
      <c r="F166" s="5"/>
    </row>
    <row r="167" spans="1:6" ht="14.5" x14ac:dyDescent="0.35">
      <c r="A167" s="5"/>
      <c r="B167" s="5"/>
      <c r="C167" s="5"/>
      <c r="D167" s="5"/>
      <c r="E167" s="52">
        <f t="shared" si="10"/>
        <v>0</v>
      </c>
      <c r="F167" s="5"/>
    </row>
    <row r="168" spans="1:6" ht="14.5" x14ac:dyDescent="0.35">
      <c r="A168" s="5"/>
      <c r="B168" s="5"/>
      <c r="C168" s="5"/>
      <c r="D168" s="5"/>
      <c r="E168" s="5"/>
      <c r="F168" s="5"/>
    </row>
    <row r="169" spans="1:6" ht="14.5" x14ac:dyDescent="0.35">
      <c r="A169" s="1" t="s">
        <v>127</v>
      </c>
      <c r="B169" s="1"/>
      <c r="C169" s="1"/>
      <c r="D169" s="1"/>
      <c r="E169" s="1"/>
      <c r="F169" s="51">
        <f>SUM(E171:E179)</f>
        <v>159000</v>
      </c>
    </row>
    <row r="170" spans="1:6" ht="14.5" x14ac:dyDescent="0.35">
      <c r="A170" s="5"/>
      <c r="B170" s="5" t="s">
        <v>2</v>
      </c>
      <c r="C170" s="5"/>
      <c r="D170" s="5" t="s">
        <v>3</v>
      </c>
      <c r="E170" s="5" t="s">
        <v>4</v>
      </c>
      <c r="F170" s="5"/>
    </row>
    <row r="171" spans="1:6" ht="14.5" x14ac:dyDescent="0.35">
      <c r="A171" s="5" t="s">
        <v>127</v>
      </c>
      <c r="B171" s="52">
        <v>0.3</v>
      </c>
      <c r="C171" s="5" t="s">
        <v>62</v>
      </c>
      <c r="D171" s="52">
        <v>530000</v>
      </c>
      <c r="E171" s="52">
        <f t="shared" ref="E171:E179" si="11">D171*B171</f>
        <v>159000</v>
      </c>
      <c r="F171" s="5"/>
    </row>
    <row r="172" spans="1:6" ht="14.5" x14ac:dyDescent="0.35">
      <c r="A172" s="5"/>
      <c r="B172" s="5"/>
      <c r="C172" s="5"/>
      <c r="D172" s="5"/>
      <c r="E172" s="52">
        <f t="shared" si="11"/>
        <v>0</v>
      </c>
      <c r="F172" s="5"/>
    </row>
    <row r="173" spans="1:6" ht="14.5" x14ac:dyDescent="0.35">
      <c r="A173" s="5"/>
      <c r="B173" s="5"/>
      <c r="C173" s="5"/>
      <c r="D173" s="5"/>
      <c r="E173" s="52">
        <f t="shared" si="11"/>
        <v>0</v>
      </c>
      <c r="F173" s="5"/>
    </row>
    <row r="174" spans="1:6" ht="14.5" x14ac:dyDescent="0.35">
      <c r="A174" s="5"/>
      <c r="B174" s="5"/>
      <c r="C174" s="5"/>
      <c r="D174" s="5"/>
      <c r="E174" s="52">
        <f t="shared" si="11"/>
        <v>0</v>
      </c>
      <c r="F174" s="5"/>
    </row>
    <row r="175" spans="1:6" ht="14.5" x14ac:dyDescent="0.35">
      <c r="A175" s="5"/>
      <c r="B175" s="5"/>
      <c r="C175" s="5"/>
      <c r="D175" s="5"/>
      <c r="E175" s="52">
        <f t="shared" si="11"/>
        <v>0</v>
      </c>
      <c r="F175" s="5"/>
    </row>
    <row r="176" spans="1:6" ht="14.5" x14ac:dyDescent="0.35">
      <c r="A176" s="5"/>
      <c r="B176" s="5"/>
      <c r="C176" s="5"/>
      <c r="D176" s="5"/>
      <c r="E176" s="52">
        <f t="shared" si="11"/>
        <v>0</v>
      </c>
      <c r="F176" s="5"/>
    </row>
    <row r="177" spans="1:6" ht="14.5" x14ac:dyDescent="0.35">
      <c r="A177" s="5"/>
      <c r="B177" s="5"/>
      <c r="C177" s="5"/>
      <c r="D177" s="5"/>
      <c r="E177" s="52">
        <f t="shared" si="11"/>
        <v>0</v>
      </c>
      <c r="F177" s="5"/>
    </row>
    <row r="178" spans="1:6" ht="14.5" x14ac:dyDescent="0.35">
      <c r="A178" s="5"/>
      <c r="B178" s="5"/>
      <c r="C178" s="5"/>
      <c r="D178" s="5"/>
      <c r="E178" s="52">
        <f t="shared" si="11"/>
        <v>0</v>
      </c>
      <c r="F178" s="5"/>
    </row>
    <row r="179" spans="1:6" ht="14.5" x14ac:dyDescent="0.35">
      <c r="A179" s="5"/>
      <c r="B179" s="5"/>
      <c r="C179" s="5"/>
      <c r="D179" s="5"/>
      <c r="E179" s="52">
        <f t="shared" si="11"/>
        <v>0</v>
      </c>
      <c r="F179" s="5"/>
    </row>
    <row r="180" spans="1:6" ht="14.5" x14ac:dyDescent="0.35">
      <c r="A180" s="5"/>
      <c r="B180" s="5"/>
      <c r="C180" s="5"/>
      <c r="D180" s="5"/>
      <c r="E180" s="5"/>
      <c r="F180" s="5"/>
    </row>
    <row r="181" spans="1:6" ht="14.5" x14ac:dyDescent="0.35">
      <c r="A181" s="1" t="s">
        <v>128</v>
      </c>
      <c r="B181" s="1"/>
      <c r="C181" s="1"/>
      <c r="D181" s="1"/>
      <c r="E181" s="1"/>
      <c r="F181" s="51">
        <f>SUM(E183:E191)</f>
        <v>189000</v>
      </c>
    </row>
    <row r="182" spans="1:6" ht="14.5" x14ac:dyDescent="0.35">
      <c r="A182" s="5"/>
      <c r="B182" s="5" t="s">
        <v>2</v>
      </c>
      <c r="C182" s="5"/>
      <c r="D182" s="5" t="s">
        <v>3</v>
      </c>
      <c r="E182" s="5" t="s">
        <v>4</v>
      </c>
      <c r="F182" s="5"/>
    </row>
    <row r="183" spans="1:6" ht="14.5" x14ac:dyDescent="0.35">
      <c r="A183" s="5" t="s">
        <v>128</v>
      </c>
      <c r="B183" s="52">
        <v>0.3</v>
      </c>
      <c r="C183" s="5" t="s">
        <v>62</v>
      </c>
      <c r="D183" s="52">
        <v>630000</v>
      </c>
      <c r="E183" s="52">
        <f t="shared" ref="E183:E191" si="12">D183*B183</f>
        <v>189000</v>
      </c>
      <c r="F183" s="5"/>
    </row>
    <row r="184" spans="1:6" ht="14.5" x14ac:dyDescent="0.35">
      <c r="A184" s="5"/>
      <c r="B184" s="5"/>
      <c r="C184" s="5"/>
      <c r="D184" s="5"/>
      <c r="E184" s="52">
        <f t="shared" si="12"/>
        <v>0</v>
      </c>
      <c r="F184" s="5"/>
    </row>
    <row r="185" spans="1:6" ht="14.5" x14ac:dyDescent="0.35">
      <c r="A185" s="5"/>
      <c r="B185" s="5"/>
      <c r="C185" s="5"/>
      <c r="D185" s="5"/>
      <c r="E185" s="52">
        <f t="shared" si="12"/>
        <v>0</v>
      </c>
      <c r="F185" s="5"/>
    </row>
    <row r="186" spans="1:6" ht="14.5" x14ac:dyDescent="0.35">
      <c r="A186" s="5"/>
      <c r="B186" s="5"/>
      <c r="C186" s="5"/>
      <c r="D186" s="5"/>
      <c r="E186" s="52">
        <f t="shared" si="12"/>
        <v>0</v>
      </c>
      <c r="F186" s="5"/>
    </row>
    <row r="187" spans="1:6" ht="14.5" x14ac:dyDescent="0.35">
      <c r="A187" s="5"/>
      <c r="B187" s="5"/>
      <c r="C187" s="5"/>
      <c r="D187" s="5"/>
      <c r="E187" s="52">
        <f t="shared" si="12"/>
        <v>0</v>
      </c>
      <c r="F187" s="5"/>
    </row>
    <row r="188" spans="1:6" ht="14.5" x14ac:dyDescent="0.35">
      <c r="A188" s="5"/>
      <c r="B188" s="5"/>
      <c r="C188" s="5"/>
      <c r="D188" s="5"/>
      <c r="E188" s="52">
        <f t="shared" si="12"/>
        <v>0</v>
      </c>
      <c r="F188" s="5"/>
    </row>
    <row r="189" spans="1:6" ht="14.5" x14ac:dyDescent="0.35">
      <c r="A189" s="5"/>
      <c r="B189" s="5"/>
      <c r="C189" s="5"/>
      <c r="D189" s="5"/>
      <c r="E189" s="52">
        <f t="shared" si="12"/>
        <v>0</v>
      </c>
      <c r="F189" s="5"/>
    </row>
    <row r="190" spans="1:6" ht="14.5" x14ac:dyDescent="0.35">
      <c r="A190" s="5"/>
      <c r="B190" s="5"/>
      <c r="C190" s="5"/>
      <c r="D190" s="5"/>
      <c r="E190" s="52">
        <f t="shared" si="12"/>
        <v>0</v>
      </c>
      <c r="F190" s="5"/>
    </row>
    <row r="191" spans="1:6" ht="14.5" x14ac:dyDescent="0.35">
      <c r="A191" s="5"/>
      <c r="B191" s="5"/>
      <c r="C191" s="5"/>
      <c r="D191" s="5"/>
      <c r="E191" s="52">
        <f t="shared" si="12"/>
        <v>0</v>
      </c>
      <c r="F191" s="5"/>
    </row>
    <row r="192" spans="1:6" ht="14.5" x14ac:dyDescent="0.35">
      <c r="A192" s="5"/>
      <c r="B192" s="5"/>
      <c r="C192" s="5"/>
      <c r="D192" s="5"/>
      <c r="E192" s="5"/>
      <c r="F192" s="5"/>
    </row>
    <row r="193" spans="1:6" ht="14.5" x14ac:dyDescent="0.35">
      <c r="A193" s="1" t="s">
        <v>129</v>
      </c>
      <c r="B193" s="1"/>
      <c r="C193" s="1"/>
      <c r="D193" s="1"/>
      <c r="E193" s="1"/>
      <c r="F193" s="51">
        <f>SUM(E195:E203)</f>
        <v>10000</v>
      </c>
    </row>
    <row r="194" spans="1:6" ht="14.5" x14ac:dyDescent="0.35">
      <c r="A194" s="5"/>
      <c r="B194" s="5" t="s">
        <v>2</v>
      </c>
      <c r="C194" s="5"/>
      <c r="D194" s="5" t="s">
        <v>3</v>
      </c>
      <c r="E194" s="5" t="s">
        <v>4</v>
      </c>
      <c r="F194" s="5"/>
    </row>
    <row r="195" spans="1:6" ht="14.5" x14ac:dyDescent="0.35">
      <c r="A195" s="39" t="s">
        <v>129</v>
      </c>
      <c r="B195" s="53">
        <v>1</v>
      </c>
      <c r="C195" s="39" t="s">
        <v>130</v>
      </c>
      <c r="D195" s="53">
        <v>10000</v>
      </c>
      <c r="E195" s="52">
        <f t="shared" ref="E195:E203" si="13">D195*B195</f>
        <v>10000</v>
      </c>
      <c r="F195" s="5"/>
    </row>
    <row r="196" spans="1:6" ht="14.5" x14ac:dyDescent="0.35">
      <c r="A196" s="5"/>
      <c r="B196" s="5"/>
      <c r="C196" s="5" t="s">
        <v>90</v>
      </c>
      <c r="D196" s="5"/>
      <c r="E196" s="52">
        <f t="shared" si="13"/>
        <v>0</v>
      </c>
      <c r="F196" s="5"/>
    </row>
    <row r="197" spans="1:6" ht="14.5" x14ac:dyDescent="0.35">
      <c r="A197" s="5"/>
      <c r="B197" s="5"/>
      <c r="C197" s="5" t="s">
        <v>90</v>
      </c>
      <c r="D197" s="5"/>
      <c r="E197" s="52">
        <f t="shared" si="13"/>
        <v>0</v>
      </c>
      <c r="F197" s="5"/>
    </row>
    <row r="198" spans="1:6" ht="14.5" x14ac:dyDescent="0.35">
      <c r="A198" s="5"/>
      <c r="B198" s="5"/>
      <c r="C198" s="5" t="s">
        <v>90</v>
      </c>
      <c r="D198" s="5"/>
      <c r="E198" s="52">
        <f t="shared" si="13"/>
        <v>0</v>
      </c>
      <c r="F198" s="5"/>
    </row>
    <row r="199" spans="1:6" ht="14.5" x14ac:dyDescent="0.35">
      <c r="A199" s="5"/>
      <c r="B199" s="5"/>
      <c r="C199" s="5" t="s">
        <v>90</v>
      </c>
      <c r="D199" s="5"/>
      <c r="E199" s="52">
        <f t="shared" si="13"/>
        <v>0</v>
      </c>
      <c r="F199" s="5"/>
    </row>
    <row r="200" spans="1:6" ht="14.5" x14ac:dyDescent="0.35">
      <c r="A200" s="5"/>
      <c r="B200" s="5"/>
      <c r="C200" s="5" t="s">
        <v>90</v>
      </c>
      <c r="D200" s="5"/>
      <c r="E200" s="52">
        <f t="shared" si="13"/>
        <v>0</v>
      </c>
      <c r="F200" s="5"/>
    </row>
    <row r="201" spans="1:6" ht="14.5" x14ac:dyDescent="0.35">
      <c r="A201" s="5"/>
      <c r="B201" s="5"/>
      <c r="C201" s="5" t="s">
        <v>90</v>
      </c>
      <c r="D201" s="5"/>
      <c r="E201" s="52">
        <f t="shared" si="13"/>
        <v>0</v>
      </c>
      <c r="F201" s="5"/>
    </row>
    <row r="202" spans="1:6" ht="14.5" x14ac:dyDescent="0.35">
      <c r="A202" s="5"/>
      <c r="B202" s="5"/>
      <c r="C202" s="5" t="s">
        <v>90</v>
      </c>
      <c r="D202" s="5"/>
      <c r="E202" s="52">
        <f t="shared" si="13"/>
        <v>0</v>
      </c>
      <c r="F202" s="5"/>
    </row>
    <row r="203" spans="1:6" ht="14.5" x14ac:dyDescent="0.35">
      <c r="A203" s="5"/>
      <c r="B203" s="5"/>
      <c r="C203" s="5" t="s">
        <v>90</v>
      </c>
      <c r="D203" s="5"/>
      <c r="E203" s="52">
        <f t="shared" si="13"/>
        <v>0</v>
      </c>
      <c r="F203" s="5"/>
    </row>
    <row r="204" spans="1:6" ht="14.5" x14ac:dyDescent="0.35">
      <c r="A204" s="5"/>
      <c r="B204" s="5"/>
      <c r="C204" s="5"/>
      <c r="D204" s="5"/>
      <c r="E204" s="5"/>
      <c r="F204" s="5"/>
    </row>
    <row r="205" spans="1:6" ht="14.5" x14ac:dyDescent="0.35">
      <c r="A205" s="1" t="s">
        <v>341</v>
      </c>
      <c r="B205" s="1"/>
      <c r="C205" s="1"/>
      <c r="D205" s="1"/>
      <c r="E205" s="1"/>
      <c r="F205" s="51">
        <f>SUM(E207:E215)</f>
        <v>10000</v>
      </c>
    </row>
    <row r="206" spans="1:6" ht="14.5" x14ac:dyDescent="0.35">
      <c r="A206" s="5"/>
      <c r="B206" s="5" t="s">
        <v>2</v>
      </c>
      <c r="C206" s="5"/>
      <c r="D206" s="5" t="s">
        <v>3</v>
      </c>
      <c r="E206" s="5" t="s">
        <v>4</v>
      </c>
      <c r="F206" s="5"/>
    </row>
    <row r="207" spans="1:6" ht="14.5" x14ac:dyDescent="0.35">
      <c r="A207" s="5" t="s">
        <v>341</v>
      </c>
      <c r="B207" s="52">
        <v>1</v>
      </c>
      <c r="C207" s="5" t="s">
        <v>7</v>
      </c>
      <c r="D207" s="53">
        <v>10000</v>
      </c>
      <c r="E207" s="52">
        <f t="shared" ref="E207:E215" si="14">D207*B207</f>
        <v>10000</v>
      </c>
      <c r="F207" s="5"/>
    </row>
    <row r="208" spans="1:6" ht="14.5" x14ac:dyDescent="0.35">
      <c r="A208" s="5"/>
      <c r="B208" s="5"/>
      <c r="C208" s="5"/>
      <c r="D208" s="5"/>
      <c r="E208" s="52">
        <f t="shared" si="14"/>
        <v>0</v>
      </c>
      <c r="F208" s="5"/>
    </row>
    <row r="209" spans="1:6" ht="14.5" x14ac:dyDescent="0.35">
      <c r="A209" s="5"/>
      <c r="B209" s="5"/>
      <c r="C209" s="5"/>
      <c r="D209" s="5"/>
      <c r="E209" s="52">
        <f t="shared" si="14"/>
        <v>0</v>
      </c>
      <c r="F209" s="5"/>
    </row>
    <row r="210" spans="1:6" ht="14.5" x14ac:dyDescent="0.35">
      <c r="A210" s="5"/>
      <c r="B210" s="5"/>
      <c r="C210" s="5"/>
      <c r="D210" s="5"/>
      <c r="E210" s="52">
        <f t="shared" si="14"/>
        <v>0</v>
      </c>
      <c r="F210" s="5"/>
    </row>
    <row r="211" spans="1:6" ht="14.5" x14ac:dyDescent="0.35">
      <c r="A211" s="5"/>
      <c r="B211" s="5"/>
      <c r="C211" s="5"/>
      <c r="D211" s="5"/>
      <c r="E211" s="52">
        <f t="shared" si="14"/>
        <v>0</v>
      </c>
      <c r="F211" s="5"/>
    </row>
    <row r="212" spans="1:6" ht="14.5" x14ac:dyDescent="0.35">
      <c r="A212" s="5"/>
      <c r="B212" s="5"/>
      <c r="C212" s="5"/>
      <c r="D212" s="5"/>
      <c r="E212" s="52">
        <f t="shared" si="14"/>
        <v>0</v>
      </c>
      <c r="F212" s="5"/>
    </row>
    <row r="213" spans="1:6" ht="14.5" x14ac:dyDescent="0.35">
      <c r="A213" s="5"/>
      <c r="B213" s="5"/>
      <c r="C213" s="5"/>
      <c r="D213" s="5"/>
      <c r="E213" s="52">
        <f t="shared" si="14"/>
        <v>0</v>
      </c>
      <c r="F213" s="5"/>
    </row>
    <row r="214" spans="1:6" ht="14.5" x14ac:dyDescent="0.35">
      <c r="A214" s="5"/>
      <c r="B214" s="5"/>
      <c r="C214" s="5"/>
      <c r="D214" s="5"/>
      <c r="E214" s="52">
        <f t="shared" si="14"/>
        <v>0</v>
      </c>
      <c r="F214" s="5"/>
    </row>
    <row r="215" spans="1:6" ht="14.5" x14ac:dyDescent="0.35">
      <c r="A215" s="5"/>
      <c r="B215" s="5"/>
      <c r="C215" s="5"/>
      <c r="D215" s="5"/>
      <c r="E215" s="52">
        <f t="shared" si="14"/>
        <v>0</v>
      </c>
      <c r="F215" s="5"/>
    </row>
    <row r="216" spans="1:6" ht="14.5" x14ac:dyDescent="0.35">
      <c r="A216" s="5"/>
      <c r="B216" s="5"/>
      <c r="C216" s="5"/>
      <c r="D216" s="5"/>
      <c r="E216" s="5"/>
      <c r="F216" s="5"/>
    </row>
    <row r="217" spans="1:6" ht="14.5" x14ac:dyDescent="0.35">
      <c r="A217" s="51" t="s">
        <v>132</v>
      </c>
      <c r="B217" s="1"/>
      <c r="C217" s="1"/>
      <c r="D217" s="1"/>
      <c r="E217" s="1"/>
      <c r="F217" s="51">
        <f>SUM(E219:E227)</f>
        <v>50000</v>
      </c>
    </row>
    <row r="218" spans="1:6" ht="14.5" x14ac:dyDescent="0.35">
      <c r="A218" s="5"/>
      <c r="B218" s="5" t="s">
        <v>2</v>
      </c>
      <c r="C218" s="5"/>
      <c r="D218" s="5" t="s">
        <v>3</v>
      </c>
      <c r="E218" s="5" t="s">
        <v>4</v>
      </c>
      <c r="F218" s="5"/>
    </row>
    <row r="219" spans="1:6" ht="14.5" x14ac:dyDescent="0.35">
      <c r="A219" s="39" t="s">
        <v>132</v>
      </c>
      <c r="B219" s="53">
        <v>1</v>
      </c>
      <c r="C219" s="39" t="s">
        <v>133</v>
      </c>
      <c r="D219" s="53">
        <v>50000</v>
      </c>
      <c r="E219" s="52">
        <f t="shared" ref="E219:E227" si="15">D219*B219</f>
        <v>50000</v>
      </c>
      <c r="F219" s="5"/>
    </row>
    <row r="220" spans="1:6" ht="14.5" x14ac:dyDescent="0.35">
      <c r="A220" s="5"/>
      <c r="B220" s="5"/>
      <c r="C220" s="5" t="s">
        <v>90</v>
      </c>
      <c r="D220" s="5"/>
      <c r="E220" s="52">
        <f t="shared" si="15"/>
        <v>0</v>
      </c>
      <c r="F220" s="5"/>
    </row>
    <row r="221" spans="1:6" ht="14.5" x14ac:dyDescent="0.35">
      <c r="A221" s="5"/>
      <c r="B221" s="5"/>
      <c r="C221" s="5" t="s">
        <v>90</v>
      </c>
      <c r="D221" s="5"/>
      <c r="E221" s="52">
        <f t="shared" si="15"/>
        <v>0</v>
      </c>
      <c r="F221" s="5"/>
    </row>
    <row r="222" spans="1:6" ht="14.5" x14ac:dyDescent="0.35">
      <c r="A222" s="5"/>
      <c r="B222" s="5"/>
      <c r="C222" s="5" t="s">
        <v>90</v>
      </c>
      <c r="D222" s="5"/>
      <c r="E222" s="52">
        <f t="shared" si="15"/>
        <v>0</v>
      </c>
      <c r="F222" s="5"/>
    </row>
    <row r="223" spans="1:6" ht="14.5" x14ac:dyDescent="0.35">
      <c r="A223" s="5"/>
      <c r="B223" s="5"/>
      <c r="C223" s="5" t="s">
        <v>90</v>
      </c>
      <c r="D223" s="5"/>
      <c r="E223" s="52">
        <f t="shared" si="15"/>
        <v>0</v>
      </c>
      <c r="F223" s="5"/>
    </row>
    <row r="224" spans="1:6" ht="14.5" x14ac:dyDescent="0.35">
      <c r="A224" s="5"/>
      <c r="B224" s="5"/>
      <c r="C224" s="5" t="s">
        <v>90</v>
      </c>
      <c r="D224" s="5"/>
      <c r="E224" s="52">
        <f t="shared" si="15"/>
        <v>0</v>
      </c>
      <c r="F224" s="5"/>
    </row>
    <row r="225" spans="1:6" ht="14.5" x14ac:dyDescent="0.35">
      <c r="A225" s="5"/>
      <c r="B225" s="5"/>
      <c r="C225" s="5" t="s">
        <v>90</v>
      </c>
      <c r="D225" s="5"/>
      <c r="E225" s="52">
        <f t="shared" si="15"/>
        <v>0</v>
      </c>
      <c r="F225" s="5"/>
    </row>
    <row r="226" spans="1:6" ht="14.5" x14ac:dyDescent="0.35">
      <c r="A226" s="5"/>
      <c r="B226" s="5"/>
      <c r="C226" s="5" t="s">
        <v>90</v>
      </c>
      <c r="D226" s="5"/>
      <c r="E226" s="52">
        <f t="shared" si="15"/>
        <v>0</v>
      </c>
      <c r="F226" s="5"/>
    </row>
    <row r="227" spans="1:6" ht="14.5" x14ac:dyDescent="0.35">
      <c r="A227" s="5"/>
      <c r="B227" s="5"/>
      <c r="C227" s="5" t="s">
        <v>90</v>
      </c>
      <c r="D227" s="5"/>
      <c r="E227" s="52">
        <f t="shared" si="15"/>
        <v>0</v>
      </c>
      <c r="F227" s="5"/>
    </row>
    <row r="228" spans="1:6" ht="14.5" x14ac:dyDescent="0.35">
      <c r="A228" s="5"/>
      <c r="B228" s="5"/>
      <c r="C228" s="5"/>
      <c r="D228" s="5"/>
      <c r="E228" s="5"/>
      <c r="F228" s="5"/>
    </row>
    <row r="229" spans="1:6" ht="14.5" x14ac:dyDescent="0.35">
      <c r="A229" s="1" t="s">
        <v>134</v>
      </c>
      <c r="B229" s="1"/>
      <c r="C229" s="1"/>
      <c r="D229" s="1"/>
      <c r="E229" s="1"/>
      <c r="F229" s="51">
        <f>SUM(E231:E239)</f>
        <v>485000</v>
      </c>
    </row>
    <row r="230" spans="1:6" ht="14.5" x14ac:dyDescent="0.35">
      <c r="A230" s="5"/>
      <c r="B230" s="5" t="s">
        <v>2</v>
      </c>
      <c r="C230" s="5"/>
      <c r="D230" s="5" t="s">
        <v>3</v>
      </c>
      <c r="E230" s="5" t="s">
        <v>4</v>
      </c>
      <c r="F230" s="5"/>
    </row>
    <row r="231" spans="1:6" ht="14.5" x14ac:dyDescent="0.35">
      <c r="A231" s="39" t="s">
        <v>135</v>
      </c>
      <c r="B231" s="53">
        <v>1</v>
      </c>
      <c r="C231" s="39" t="s">
        <v>136</v>
      </c>
      <c r="D231" s="53">
        <v>135000</v>
      </c>
      <c r="E231" s="52">
        <f t="shared" ref="E231:E239" si="16">D231*B231</f>
        <v>135000</v>
      </c>
      <c r="F231" s="5"/>
    </row>
    <row r="232" spans="1:6" ht="14.5" x14ac:dyDescent="0.35">
      <c r="A232" s="39" t="s">
        <v>137</v>
      </c>
      <c r="B232" s="53">
        <v>1</v>
      </c>
      <c r="C232" s="39" t="s">
        <v>136</v>
      </c>
      <c r="D232" s="53">
        <v>350000</v>
      </c>
      <c r="E232" s="52">
        <f t="shared" si="16"/>
        <v>350000</v>
      </c>
      <c r="F232" s="5"/>
    </row>
    <row r="233" spans="1:6" ht="14.5" x14ac:dyDescent="0.35">
      <c r="A233" s="5"/>
      <c r="B233" s="5"/>
      <c r="C233" s="5"/>
      <c r="D233" s="5"/>
      <c r="E233" s="52">
        <f t="shared" si="16"/>
        <v>0</v>
      </c>
      <c r="F233" s="5"/>
    </row>
    <row r="234" spans="1:6" ht="14.5" x14ac:dyDescent="0.35">
      <c r="A234" s="5"/>
      <c r="B234" s="5"/>
      <c r="C234" s="5"/>
      <c r="D234" s="5"/>
      <c r="E234" s="52">
        <f t="shared" si="16"/>
        <v>0</v>
      </c>
      <c r="F234" s="5"/>
    </row>
    <row r="235" spans="1:6" ht="14.5" x14ac:dyDescent="0.35">
      <c r="A235" s="5"/>
      <c r="B235" s="5"/>
      <c r="C235" s="5"/>
      <c r="D235" s="5"/>
      <c r="E235" s="52">
        <f t="shared" si="16"/>
        <v>0</v>
      </c>
      <c r="F235" s="5"/>
    </row>
    <row r="236" spans="1:6" ht="14.5" x14ac:dyDescent="0.35">
      <c r="A236" s="5"/>
      <c r="B236" s="5"/>
      <c r="C236" s="5"/>
      <c r="D236" s="5"/>
      <c r="E236" s="52">
        <f t="shared" si="16"/>
        <v>0</v>
      </c>
      <c r="F236" s="5"/>
    </row>
    <row r="237" spans="1:6" ht="14.5" x14ac:dyDescent="0.35">
      <c r="A237" s="5"/>
      <c r="B237" s="5"/>
      <c r="C237" s="5"/>
      <c r="D237" s="5"/>
      <c r="E237" s="52">
        <f t="shared" si="16"/>
        <v>0</v>
      </c>
      <c r="F237" s="5"/>
    </row>
    <row r="238" spans="1:6" ht="14.5" x14ac:dyDescent="0.35">
      <c r="A238" s="5"/>
      <c r="B238" s="5"/>
      <c r="C238" s="5"/>
      <c r="D238" s="5"/>
      <c r="E238" s="52">
        <f t="shared" si="16"/>
        <v>0</v>
      </c>
      <c r="F238" s="5"/>
    </row>
    <row r="239" spans="1:6" ht="14.5" x14ac:dyDescent="0.35">
      <c r="A239" s="5"/>
      <c r="B239" s="5"/>
      <c r="C239" s="5"/>
      <c r="D239" s="5"/>
      <c r="E239" s="52">
        <f t="shared" si="16"/>
        <v>0</v>
      </c>
      <c r="F239" s="5"/>
    </row>
    <row r="240" spans="1:6" ht="14.5" x14ac:dyDescent="0.35">
      <c r="A240" s="5"/>
      <c r="B240" s="5"/>
      <c r="C240" s="5"/>
      <c r="D240" s="5"/>
      <c r="E240" s="5"/>
      <c r="F240" s="5"/>
    </row>
    <row r="241" spans="1:6" ht="14.5" x14ac:dyDescent="0.35">
      <c r="A241" s="1" t="s">
        <v>138</v>
      </c>
      <c r="B241" s="1"/>
      <c r="C241" s="1"/>
      <c r="D241" s="1"/>
      <c r="E241" s="1"/>
      <c r="F241" s="51">
        <f>SUM(E243:E251)</f>
        <v>610000</v>
      </c>
    </row>
    <row r="242" spans="1:6" ht="14.5" x14ac:dyDescent="0.35">
      <c r="A242" s="5"/>
      <c r="B242" s="5" t="s">
        <v>2</v>
      </c>
      <c r="C242" s="5"/>
      <c r="D242" s="5" t="s">
        <v>3</v>
      </c>
      <c r="E242" s="5" t="s">
        <v>4</v>
      </c>
      <c r="F242" s="5"/>
    </row>
    <row r="243" spans="1:6" ht="14.5" x14ac:dyDescent="0.35">
      <c r="A243" s="39" t="s">
        <v>139</v>
      </c>
      <c r="B243" s="53">
        <v>1</v>
      </c>
      <c r="C243" s="39" t="s">
        <v>140</v>
      </c>
      <c r="D243" s="53">
        <v>610000</v>
      </c>
      <c r="E243" s="52">
        <f t="shared" ref="E243:E251" si="17">D243*B243</f>
        <v>610000</v>
      </c>
      <c r="F243" s="5"/>
    </row>
    <row r="244" spans="1:6" ht="14.5" x14ac:dyDescent="0.35">
      <c r="A244" s="5"/>
      <c r="B244" s="5"/>
      <c r="C244" s="5"/>
      <c r="D244" s="5"/>
      <c r="E244" s="52">
        <f t="shared" si="17"/>
        <v>0</v>
      </c>
      <c r="F244" s="5"/>
    </row>
    <row r="245" spans="1:6" ht="14.5" x14ac:dyDescent="0.35">
      <c r="A245" s="5"/>
      <c r="B245" s="5"/>
      <c r="C245" s="5"/>
      <c r="D245" s="5"/>
      <c r="E245" s="52">
        <f t="shared" si="17"/>
        <v>0</v>
      </c>
      <c r="F245" s="5"/>
    </row>
    <row r="246" spans="1:6" ht="14.5" x14ac:dyDescent="0.35">
      <c r="A246" s="5"/>
      <c r="B246" s="5"/>
      <c r="C246" s="5"/>
      <c r="D246" s="5"/>
      <c r="E246" s="52">
        <f t="shared" si="17"/>
        <v>0</v>
      </c>
      <c r="F246" s="5"/>
    </row>
    <row r="247" spans="1:6" ht="14.5" x14ac:dyDescent="0.35">
      <c r="A247" s="5"/>
      <c r="B247" s="5"/>
      <c r="C247" s="5"/>
      <c r="D247" s="5"/>
      <c r="E247" s="52">
        <f t="shared" si="17"/>
        <v>0</v>
      </c>
      <c r="F247" s="5"/>
    </row>
    <row r="248" spans="1:6" ht="14.5" x14ac:dyDescent="0.35">
      <c r="A248" s="5"/>
      <c r="B248" s="5"/>
      <c r="C248" s="5"/>
      <c r="D248" s="5"/>
      <c r="E248" s="52">
        <f t="shared" si="17"/>
        <v>0</v>
      </c>
      <c r="F248" s="5"/>
    </row>
    <row r="249" spans="1:6" ht="14.5" x14ac:dyDescent="0.35">
      <c r="A249" s="5"/>
      <c r="B249" s="5"/>
      <c r="C249" s="5"/>
      <c r="D249" s="5"/>
      <c r="E249" s="52">
        <f t="shared" si="17"/>
        <v>0</v>
      </c>
      <c r="F249" s="5"/>
    </row>
    <row r="250" spans="1:6" ht="14.5" x14ac:dyDescent="0.35">
      <c r="A250" s="5"/>
      <c r="B250" s="5"/>
      <c r="C250" s="5"/>
      <c r="D250" s="5"/>
      <c r="E250" s="52">
        <f t="shared" si="17"/>
        <v>0</v>
      </c>
      <c r="F250" s="5"/>
    </row>
    <row r="251" spans="1:6" ht="14.5" x14ac:dyDescent="0.35">
      <c r="A251" s="5"/>
      <c r="B251" s="5"/>
      <c r="C251" s="5"/>
      <c r="D251" s="5"/>
      <c r="E251" s="52">
        <f t="shared" si="17"/>
        <v>0</v>
      </c>
      <c r="F251" s="5"/>
    </row>
    <row r="252" spans="1:6" ht="14.5" x14ac:dyDescent="0.35">
      <c r="A252" s="5"/>
      <c r="B252" s="5"/>
      <c r="C252" s="5"/>
      <c r="D252" s="5"/>
      <c r="E252" s="5"/>
      <c r="F252" s="5"/>
    </row>
    <row r="253" spans="1:6" ht="14.5" x14ac:dyDescent="0.35">
      <c r="A253" s="1" t="s">
        <v>141</v>
      </c>
      <c r="B253" s="1"/>
      <c r="C253" s="1"/>
      <c r="D253" s="1"/>
      <c r="E253" s="1"/>
      <c r="F253" s="51">
        <f>SUM(E255:E263)</f>
        <v>142500</v>
      </c>
    </row>
    <row r="254" spans="1:6" ht="14.5" x14ac:dyDescent="0.35">
      <c r="A254" s="5"/>
      <c r="B254" s="5" t="s">
        <v>2</v>
      </c>
      <c r="C254" s="5"/>
      <c r="D254" s="5" t="s">
        <v>3</v>
      </c>
      <c r="E254" s="5" t="s">
        <v>4</v>
      </c>
      <c r="F254" s="5"/>
    </row>
    <row r="255" spans="1:6" ht="14.5" x14ac:dyDescent="0.35">
      <c r="A255" s="5" t="s">
        <v>141</v>
      </c>
      <c r="B255" s="52">
        <v>0.3</v>
      </c>
      <c r="C255" s="5" t="s">
        <v>140</v>
      </c>
      <c r="D255" s="52">
        <v>475000</v>
      </c>
      <c r="E255" s="52">
        <f t="shared" ref="E255:E263" si="18">D255*B255</f>
        <v>142500</v>
      </c>
      <c r="F255" s="5"/>
    </row>
    <row r="256" spans="1:6" ht="14.5" x14ac:dyDescent="0.35">
      <c r="A256" s="5"/>
      <c r="B256" s="5"/>
      <c r="C256" s="5" t="s">
        <v>90</v>
      </c>
      <c r="D256" s="5"/>
      <c r="E256" s="52">
        <f t="shared" si="18"/>
        <v>0</v>
      </c>
      <c r="F256" s="5"/>
    </row>
    <row r="257" spans="1:6" ht="14.5" x14ac:dyDescent="0.35">
      <c r="A257" s="5"/>
      <c r="B257" s="5"/>
      <c r="C257" s="5" t="s">
        <v>90</v>
      </c>
      <c r="D257" s="5"/>
      <c r="E257" s="52">
        <f t="shared" si="18"/>
        <v>0</v>
      </c>
      <c r="F257" s="5"/>
    </row>
    <row r="258" spans="1:6" ht="14.5" x14ac:dyDescent="0.35">
      <c r="A258" s="5"/>
      <c r="B258" s="5"/>
      <c r="C258" s="5" t="s">
        <v>90</v>
      </c>
      <c r="D258" s="5"/>
      <c r="E258" s="52">
        <f t="shared" si="18"/>
        <v>0</v>
      </c>
      <c r="F258" s="5"/>
    </row>
    <row r="259" spans="1:6" ht="14.5" x14ac:dyDescent="0.35">
      <c r="A259" s="5"/>
      <c r="B259" s="5"/>
      <c r="C259" s="5" t="s">
        <v>90</v>
      </c>
      <c r="D259" s="5"/>
      <c r="E259" s="52">
        <f t="shared" si="18"/>
        <v>0</v>
      </c>
      <c r="F259" s="5"/>
    </row>
    <row r="260" spans="1:6" ht="14.5" x14ac:dyDescent="0.35">
      <c r="A260" s="5"/>
      <c r="B260" s="5"/>
      <c r="C260" s="5" t="s">
        <v>90</v>
      </c>
      <c r="D260" s="5"/>
      <c r="E260" s="52">
        <f t="shared" si="18"/>
        <v>0</v>
      </c>
      <c r="F260" s="5"/>
    </row>
    <row r="261" spans="1:6" ht="14.5" x14ac:dyDescent="0.35">
      <c r="A261" s="5"/>
      <c r="B261" s="5"/>
      <c r="C261" s="5" t="s">
        <v>90</v>
      </c>
      <c r="D261" s="5"/>
      <c r="E261" s="52">
        <f t="shared" si="18"/>
        <v>0</v>
      </c>
      <c r="F261" s="5"/>
    </row>
    <row r="262" spans="1:6" ht="14.5" x14ac:dyDescent="0.35">
      <c r="A262" s="5"/>
      <c r="B262" s="5"/>
      <c r="C262" s="5" t="s">
        <v>90</v>
      </c>
      <c r="D262" s="5"/>
      <c r="E262" s="52">
        <f t="shared" si="18"/>
        <v>0</v>
      </c>
      <c r="F262" s="5"/>
    </row>
    <row r="263" spans="1:6" ht="14.5" x14ac:dyDescent="0.35">
      <c r="A263" s="5"/>
      <c r="B263" s="5"/>
      <c r="C263" s="5" t="s">
        <v>90</v>
      </c>
      <c r="D263" s="5"/>
      <c r="E263" s="52">
        <f t="shared" si="18"/>
        <v>0</v>
      </c>
      <c r="F263" s="5"/>
    </row>
    <row r="264" spans="1:6" ht="14.5" x14ac:dyDescent="0.35">
      <c r="A264" s="5"/>
      <c r="B264" s="5"/>
      <c r="C264" s="5"/>
      <c r="D264" s="5"/>
      <c r="E264" s="5"/>
      <c r="F264" s="5"/>
    </row>
    <row r="265" spans="1:6" ht="14.5" x14ac:dyDescent="0.35">
      <c r="A265" s="1" t="s">
        <v>122</v>
      </c>
      <c r="B265" s="1"/>
      <c r="C265" s="1"/>
      <c r="D265" s="1"/>
      <c r="E265" s="1"/>
      <c r="F265" s="51">
        <f>SUM(E267:E275)</f>
        <v>0</v>
      </c>
    </row>
    <row r="266" spans="1:6" ht="14.5" x14ac:dyDescent="0.35">
      <c r="A266" s="5"/>
      <c r="B266" s="5" t="s">
        <v>2</v>
      </c>
      <c r="C266" s="5"/>
      <c r="D266" s="5" t="s">
        <v>3</v>
      </c>
      <c r="E266" s="5" t="s">
        <v>4</v>
      </c>
      <c r="F266" s="5"/>
    </row>
    <row r="267" spans="1:6" ht="14.5" x14ac:dyDescent="0.35">
      <c r="A267" s="5"/>
      <c r="B267" s="5"/>
      <c r="C267" s="5" t="s">
        <v>90</v>
      </c>
      <c r="D267" s="5"/>
      <c r="E267" s="52">
        <f t="shared" ref="E267:E275" si="19">D267*B267</f>
        <v>0</v>
      </c>
      <c r="F267" s="5"/>
    </row>
    <row r="268" spans="1:6" ht="14.5" x14ac:dyDescent="0.35">
      <c r="A268" s="5"/>
      <c r="B268" s="5"/>
      <c r="C268" s="5" t="s">
        <v>90</v>
      </c>
      <c r="D268" s="5"/>
      <c r="E268" s="52">
        <f t="shared" si="19"/>
        <v>0</v>
      </c>
      <c r="F268" s="5"/>
    </row>
    <row r="269" spans="1:6" ht="14.5" x14ac:dyDescent="0.35">
      <c r="A269" s="5"/>
      <c r="B269" s="5"/>
      <c r="C269" s="5" t="s">
        <v>90</v>
      </c>
      <c r="D269" s="5"/>
      <c r="E269" s="52">
        <f t="shared" si="19"/>
        <v>0</v>
      </c>
      <c r="F269" s="5"/>
    </row>
    <row r="270" spans="1:6" ht="14.5" x14ac:dyDescent="0.35">
      <c r="A270" s="5"/>
      <c r="B270" s="5"/>
      <c r="C270" s="5" t="s">
        <v>90</v>
      </c>
      <c r="D270" s="5"/>
      <c r="E270" s="52">
        <f t="shared" si="19"/>
        <v>0</v>
      </c>
      <c r="F270" s="5"/>
    </row>
    <row r="271" spans="1:6" ht="14.5" x14ac:dyDescent="0.35">
      <c r="A271" s="5"/>
      <c r="B271" s="5"/>
      <c r="C271" s="5" t="s">
        <v>90</v>
      </c>
      <c r="D271" s="5"/>
      <c r="E271" s="52">
        <f t="shared" si="19"/>
        <v>0</v>
      </c>
      <c r="F271" s="5"/>
    </row>
    <row r="272" spans="1:6" ht="14.5" x14ac:dyDescent="0.35">
      <c r="A272" s="5"/>
      <c r="B272" s="5"/>
      <c r="C272" s="5" t="s">
        <v>90</v>
      </c>
      <c r="D272" s="5"/>
      <c r="E272" s="52">
        <f t="shared" si="19"/>
        <v>0</v>
      </c>
      <c r="F272" s="5"/>
    </row>
    <row r="273" spans="1:6" ht="14.5" x14ac:dyDescent="0.35">
      <c r="A273" s="5"/>
      <c r="B273" s="5"/>
      <c r="C273" s="5" t="s">
        <v>90</v>
      </c>
      <c r="D273" s="5"/>
      <c r="E273" s="52">
        <f t="shared" si="19"/>
        <v>0</v>
      </c>
      <c r="F273" s="5"/>
    </row>
    <row r="274" spans="1:6" ht="14.5" x14ac:dyDescent="0.35">
      <c r="A274" s="5"/>
      <c r="B274" s="5"/>
      <c r="C274" s="5" t="s">
        <v>90</v>
      </c>
      <c r="D274" s="5"/>
      <c r="E274" s="52">
        <f t="shared" si="19"/>
        <v>0</v>
      </c>
      <c r="F274" s="5"/>
    </row>
    <row r="275" spans="1:6" ht="14.5" x14ac:dyDescent="0.35">
      <c r="A275" s="5"/>
      <c r="B275" s="5"/>
      <c r="C275" s="5" t="s">
        <v>90</v>
      </c>
      <c r="D275" s="5"/>
      <c r="E275" s="52">
        <f t="shared" si="19"/>
        <v>0</v>
      </c>
      <c r="F275" s="5"/>
    </row>
    <row r="276" spans="1:6" ht="14.5" x14ac:dyDescent="0.35">
      <c r="A276" s="5"/>
      <c r="B276" s="5"/>
      <c r="C276" s="5"/>
      <c r="D276" s="5"/>
      <c r="E276" s="5"/>
      <c r="F276" s="5"/>
    </row>
    <row r="277" spans="1:6" ht="14.5" x14ac:dyDescent="0.35">
      <c r="A277" s="1" t="s">
        <v>122</v>
      </c>
      <c r="B277" s="1"/>
      <c r="C277" s="1"/>
      <c r="D277" s="1"/>
      <c r="E277" s="1"/>
      <c r="F277" s="51">
        <f>SUM(E279:E287)</f>
        <v>0</v>
      </c>
    </row>
    <row r="278" spans="1:6" ht="14.5" x14ac:dyDescent="0.35">
      <c r="A278" s="5"/>
      <c r="B278" s="5" t="s">
        <v>2</v>
      </c>
      <c r="C278" s="5"/>
      <c r="D278" s="5" t="s">
        <v>3</v>
      </c>
      <c r="E278" s="5" t="s">
        <v>4</v>
      </c>
      <c r="F278" s="5"/>
    </row>
    <row r="279" spans="1:6" ht="14.5" x14ac:dyDescent="0.35">
      <c r="A279" s="5"/>
      <c r="B279" s="5"/>
      <c r="C279" s="5" t="s">
        <v>90</v>
      </c>
      <c r="D279" s="5"/>
      <c r="E279" s="52">
        <f t="shared" ref="E279:E287" si="20">D279*B279</f>
        <v>0</v>
      </c>
      <c r="F279" s="5"/>
    </row>
    <row r="280" spans="1:6" ht="14.5" x14ac:dyDescent="0.35">
      <c r="A280" s="5"/>
      <c r="B280" s="5"/>
      <c r="C280" s="5" t="s">
        <v>90</v>
      </c>
      <c r="D280" s="5"/>
      <c r="E280" s="52">
        <f t="shared" si="20"/>
        <v>0</v>
      </c>
      <c r="F280" s="5"/>
    </row>
    <row r="281" spans="1:6" ht="14.5" x14ac:dyDescent="0.35">
      <c r="A281" s="5"/>
      <c r="B281" s="5"/>
      <c r="C281" s="5" t="s">
        <v>90</v>
      </c>
      <c r="D281" s="5"/>
      <c r="E281" s="52">
        <f t="shared" si="20"/>
        <v>0</v>
      </c>
      <c r="F281" s="5"/>
    </row>
    <row r="282" spans="1:6" ht="14.5" x14ac:dyDescent="0.35">
      <c r="A282" s="5"/>
      <c r="B282" s="5"/>
      <c r="C282" s="5" t="s">
        <v>90</v>
      </c>
      <c r="D282" s="5"/>
      <c r="E282" s="52">
        <f t="shared" si="20"/>
        <v>0</v>
      </c>
      <c r="F282" s="5"/>
    </row>
    <row r="283" spans="1:6" ht="14.5" x14ac:dyDescent="0.35">
      <c r="A283" s="5"/>
      <c r="B283" s="5"/>
      <c r="C283" s="5" t="s">
        <v>90</v>
      </c>
      <c r="D283" s="5"/>
      <c r="E283" s="52">
        <f t="shared" si="20"/>
        <v>0</v>
      </c>
      <c r="F283" s="5"/>
    </row>
    <row r="284" spans="1:6" ht="14.5" x14ac:dyDescent="0.35">
      <c r="A284" s="5"/>
      <c r="B284" s="5"/>
      <c r="C284" s="5" t="s">
        <v>90</v>
      </c>
      <c r="D284" s="5"/>
      <c r="E284" s="52">
        <f t="shared" si="20"/>
        <v>0</v>
      </c>
      <c r="F284" s="5"/>
    </row>
    <row r="285" spans="1:6" ht="14.5" x14ac:dyDescent="0.35">
      <c r="A285" s="5"/>
      <c r="B285" s="5"/>
      <c r="C285" s="5" t="s">
        <v>90</v>
      </c>
      <c r="D285" s="5"/>
      <c r="E285" s="52">
        <f t="shared" si="20"/>
        <v>0</v>
      </c>
      <c r="F285" s="5"/>
    </row>
    <row r="286" spans="1:6" ht="14.5" x14ac:dyDescent="0.35">
      <c r="A286" s="5"/>
      <c r="B286" s="5"/>
      <c r="C286" s="5" t="s">
        <v>90</v>
      </c>
      <c r="D286" s="5"/>
      <c r="E286" s="52">
        <f t="shared" si="20"/>
        <v>0</v>
      </c>
      <c r="F286" s="5"/>
    </row>
    <row r="287" spans="1:6" ht="14.5" x14ac:dyDescent="0.35">
      <c r="A287" s="5"/>
      <c r="B287" s="5"/>
      <c r="C287" s="5" t="s">
        <v>90</v>
      </c>
      <c r="D287" s="5"/>
      <c r="E287" s="52">
        <f t="shared" si="20"/>
        <v>0</v>
      </c>
      <c r="F287" s="5"/>
    </row>
    <row r="288" spans="1:6" ht="14.5" x14ac:dyDescent="0.35">
      <c r="A288" s="5"/>
      <c r="B288" s="5"/>
      <c r="C288" s="5"/>
      <c r="D288" s="5"/>
      <c r="E288" s="5"/>
      <c r="F288" s="5"/>
    </row>
    <row r="289" spans="1:6" ht="14.5" x14ac:dyDescent="0.35">
      <c r="A289" s="1" t="s">
        <v>122</v>
      </c>
      <c r="B289" s="1"/>
      <c r="C289" s="1"/>
      <c r="D289" s="1"/>
      <c r="E289" s="1"/>
      <c r="F289" s="51">
        <f>SUM(E291:E299)</f>
        <v>0</v>
      </c>
    </row>
    <row r="290" spans="1:6" ht="14.5" x14ac:dyDescent="0.35">
      <c r="A290" s="5"/>
      <c r="B290" s="5" t="s">
        <v>2</v>
      </c>
      <c r="C290" s="5"/>
      <c r="D290" s="5" t="s">
        <v>3</v>
      </c>
      <c r="E290" s="5" t="s">
        <v>4</v>
      </c>
      <c r="F290" s="5"/>
    </row>
    <row r="291" spans="1:6" ht="14.5" x14ac:dyDescent="0.35">
      <c r="A291" s="5"/>
      <c r="B291" s="5"/>
      <c r="C291" s="5" t="s">
        <v>90</v>
      </c>
      <c r="D291" s="5"/>
      <c r="E291" s="52">
        <f t="shared" ref="E291:E299" si="21">D291*B291</f>
        <v>0</v>
      </c>
      <c r="F291" s="5"/>
    </row>
    <row r="292" spans="1:6" ht="14.5" x14ac:dyDescent="0.35">
      <c r="A292" s="5"/>
      <c r="B292" s="5"/>
      <c r="C292" s="5" t="s">
        <v>90</v>
      </c>
      <c r="D292" s="5"/>
      <c r="E292" s="52">
        <f t="shared" si="21"/>
        <v>0</v>
      </c>
      <c r="F292" s="5"/>
    </row>
    <row r="293" spans="1:6" ht="14.5" x14ac:dyDescent="0.35">
      <c r="A293" s="5"/>
      <c r="B293" s="5"/>
      <c r="C293" s="5" t="s">
        <v>90</v>
      </c>
      <c r="D293" s="5"/>
      <c r="E293" s="52">
        <f t="shared" si="21"/>
        <v>0</v>
      </c>
      <c r="F293" s="5"/>
    </row>
    <row r="294" spans="1:6" ht="14.5" x14ac:dyDescent="0.35">
      <c r="A294" s="5"/>
      <c r="B294" s="5"/>
      <c r="C294" s="5" t="s">
        <v>90</v>
      </c>
      <c r="D294" s="5"/>
      <c r="E294" s="52">
        <f t="shared" si="21"/>
        <v>0</v>
      </c>
      <c r="F294" s="5"/>
    </row>
    <row r="295" spans="1:6" ht="14.5" x14ac:dyDescent="0.35">
      <c r="A295" s="5"/>
      <c r="B295" s="5"/>
      <c r="C295" s="5" t="s">
        <v>90</v>
      </c>
      <c r="D295" s="5"/>
      <c r="E295" s="52">
        <f t="shared" si="21"/>
        <v>0</v>
      </c>
      <c r="F295" s="5"/>
    </row>
    <row r="296" spans="1:6" ht="14.5" x14ac:dyDescent="0.35">
      <c r="A296" s="5"/>
      <c r="B296" s="5"/>
      <c r="C296" s="5" t="s">
        <v>90</v>
      </c>
      <c r="D296" s="5"/>
      <c r="E296" s="52">
        <f t="shared" si="21"/>
        <v>0</v>
      </c>
      <c r="F296" s="5"/>
    </row>
    <row r="297" spans="1:6" ht="14.5" x14ac:dyDescent="0.35">
      <c r="A297" s="5"/>
      <c r="B297" s="5"/>
      <c r="C297" s="5" t="s">
        <v>90</v>
      </c>
      <c r="D297" s="5"/>
      <c r="E297" s="52">
        <f t="shared" si="21"/>
        <v>0</v>
      </c>
      <c r="F297" s="5"/>
    </row>
    <row r="298" spans="1:6" ht="14.5" x14ac:dyDescent="0.35">
      <c r="A298" s="5"/>
      <c r="B298" s="5"/>
      <c r="C298" s="5" t="s">
        <v>90</v>
      </c>
      <c r="D298" s="5"/>
      <c r="E298" s="52">
        <f t="shared" si="21"/>
        <v>0</v>
      </c>
      <c r="F298" s="5"/>
    </row>
    <row r="299" spans="1:6" ht="14.5" x14ac:dyDescent="0.35">
      <c r="A299" s="5"/>
      <c r="B299" s="5"/>
      <c r="C299" s="5" t="s">
        <v>90</v>
      </c>
      <c r="D299" s="5"/>
      <c r="E299" s="52">
        <f t="shared" si="21"/>
        <v>0</v>
      </c>
      <c r="F299" s="5"/>
    </row>
    <row r="300" spans="1:6" ht="14.5" x14ac:dyDescent="0.35">
      <c r="A300" s="5"/>
      <c r="B300" s="5"/>
      <c r="C300" s="5"/>
      <c r="D300" s="5"/>
      <c r="E300" s="5"/>
      <c r="F300" s="5"/>
    </row>
    <row r="301" spans="1:6" ht="14.5" x14ac:dyDescent="0.35">
      <c r="A301" s="1" t="s">
        <v>122</v>
      </c>
      <c r="B301" s="1"/>
      <c r="C301" s="1"/>
      <c r="D301" s="1"/>
      <c r="E301" s="1"/>
      <c r="F301" s="51">
        <f>SUM(E303:E311)</f>
        <v>0</v>
      </c>
    </row>
    <row r="302" spans="1:6" ht="14.5" x14ac:dyDescent="0.35">
      <c r="A302" s="5"/>
      <c r="B302" s="5" t="s">
        <v>2</v>
      </c>
      <c r="C302" s="5"/>
      <c r="D302" s="5" t="s">
        <v>3</v>
      </c>
      <c r="E302" s="5" t="s">
        <v>4</v>
      </c>
      <c r="F302" s="5"/>
    </row>
    <row r="303" spans="1:6" ht="14.5" x14ac:dyDescent="0.35">
      <c r="A303" s="5"/>
      <c r="B303" s="5"/>
      <c r="C303" s="5" t="s">
        <v>90</v>
      </c>
      <c r="D303" s="5"/>
      <c r="E303" s="52">
        <f t="shared" ref="E303:E311" si="22">D303*B303</f>
        <v>0</v>
      </c>
      <c r="F303" s="5"/>
    </row>
    <row r="304" spans="1:6" ht="14.5" x14ac:dyDescent="0.35">
      <c r="A304" s="5"/>
      <c r="B304" s="5"/>
      <c r="C304" s="5" t="s">
        <v>90</v>
      </c>
      <c r="D304" s="5"/>
      <c r="E304" s="52">
        <f t="shared" si="22"/>
        <v>0</v>
      </c>
      <c r="F304" s="5"/>
    </row>
    <row r="305" spans="1:6" ht="14.5" x14ac:dyDescent="0.35">
      <c r="A305" s="5"/>
      <c r="B305" s="5"/>
      <c r="C305" s="5" t="s">
        <v>90</v>
      </c>
      <c r="D305" s="5"/>
      <c r="E305" s="52">
        <f t="shared" si="22"/>
        <v>0</v>
      </c>
      <c r="F305" s="5"/>
    </row>
    <row r="306" spans="1:6" ht="14.5" x14ac:dyDescent="0.35">
      <c r="A306" s="5"/>
      <c r="B306" s="5"/>
      <c r="C306" s="5" t="s">
        <v>90</v>
      </c>
      <c r="D306" s="5"/>
      <c r="E306" s="52">
        <f t="shared" si="22"/>
        <v>0</v>
      </c>
      <c r="F306" s="5"/>
    </row>
    <row r="307" spans="1:6" ht="14.5" x14ac:dyDescent="0.35">
      <c r="A307" s="5"/>
      <c r="B307" s="5"/>
      <c r="C307" s="5" t="s">
        <v>90</v>
      </c>
      <c r="D307" s="5"/>
      <c r="E307" s="52">
        <f t="shared" si="22"/>
        <v>0</v>
      </c>
      <c r="F307" s="5"/>
    </row>
    <row r="308" spans="1:6" ht="14.5" x14ac:dyDescent="0.35">
      <c r="A308" s="5"/>
      <c r="B308" s="5"/>
      <c r="C308" s="5" t="s">
        <v>90</v>
      </c>
      <c r="D308" s="5"/>
      <c r="E308" s="52">
        <f t="shared" si="22"/>
        <v>0</v>
      </c>
      <c r="F308" s="5"/>
    </row>
    <row r="309" spans="1:6" ht="14.5" x14ac:dyDescent="0.35">
      <c r="A309" s="5"/>
      <c r="B309" s="5"/>
      <c r="C309" s="5" t="s">
        <v>90</v>
      </c>
      <c r="D309" s="5"/>
      <c r="E309" s="52">
        <f t="shared" si="22"/>
        <v>0</v>
      </c>
      <c r="F309" s="5"/>
    </row>
    <row r="310" spans="1:6" ht="14.5" x14ac:dyDescent="0.35">
      <c r="A310" s="5"/>
      <c r="B310" s="5"/>
      <c r="C310" s="5" t="s">
        <v>90</v>
      </c>
      <c r="D310" s="5"/>
      <c r="E310" s="52">
        <f t="shared" si="22"/>
        <v>0</v>
      </c>
      <c r="F310" s="5"/>
    </row>
    <row r="311" spans="1:6" ht="14.5" x14ac:dyDescent="0.35">
      <c r="A311" s="5"/>
      <c r="B311" s="5"/>
      <c r="C311" s="5" t="s">
        <v>90</v>
      </c>
      <c r="D311" s="5"/>
      <c r="E311" s="52">
        <f t="shared" si="22"/>
        <v>0</v>
      </c>
      <c r="F311" s="5"/>
    </row>
    <row r="312" spans="1:6" ht="14.5" x14ac:dyDescent="0.35">
      <c r="A312" s="5"/>
      <c r="B312" s="5"/>
      <c r="C312" s="5"/>
      <c r="D312" s="5"/>
      <c r="E312" s="5"/>
      <c r="F312" s="5"/>
    </row>
    <row r="313" spans="1:6" ht="14.5" x14ac:dyDescent="0.35">
      <c r="A313" s="1" t="s">
        <v>122</v>
      </c>
      <c r="B313" s="1"/>
      <c r="C313" s="1"/>
      <c r="D313" s="1"/>
      <c r="E313" s="1"/>
      <c r="F313" s="51">
        <f>SUM(E315:E323)</f>
        <v>0</v>
      </c>
    </row>
    <row r="314" spans="1:6" ht="14.5" x14ac:dyDescent="0.35">
      <c r="A314" s="5"/>
      <c r="B314" s="5" t="s">
        <v>2</v>
      </c>
      <c r="C314" s="5"/>
      <c r="D314" s="5" t="s">
        <v>3</v>
      </c>
      <c r="E314" s="5" t="s">
        <v>4</v>
      </c>
      <c r="F314" s="5"/>
    </row>
    <row r="315" spans="1:6" ht="14.5" x14ac:dyDescent="0.35">
      <c r="A315" s="5"/>
      <c r="B315" s="5"/>
      <c r="C315" s="5" t="s">
        <v>90</v>
      </c>
      <c r="D315" s="5"/>
      <c r="E315" s="52">
        <f t="shared" ref="E315:E323" si="23">D315*B315</f>
        <v>0</v>
      </c>
      <c r="F315" s="5"/>
    </row>
    <row r="316" spans="1:6" ht="14.5" x14ac:dyDescent="0.35">
      <c r="A316" s="5"/>
      <c r="B316" s="5"/>
      <c r="C316" s="5" t="s">
        <v>90</v>
      </c>
      <c r="D316" s="5"/>
      <c r="E316" s="52">
        <f t="shared" si="23"/>
        <v>0</v>
      </c>
      <c r="F316" s="5"/>
    </row>
    <row r="317" spans="1:6" ht="14.5" x14ac:dyDescent="0.35">
      <c r="A317" s="5"/>
      <c r="B317" s="5"/>
      <c r="C317" s="5" t="s">
        <v>90</v>
      </c>
      <c r="D317" s="5"/>
      <c r="E317" s="52">
        <f t="shared" si="23"/>
        <v>0</v>
      </c>
      <c r="F317" s="5"/>
    </row>
    <row r="318" spans="1:6" ht="14.5" x14ac:dyDescent="0.35">
      <c r="A318" s="5"/>
      <c r="B318" s="5"/>
      <c r="C318" s="5" t="s">
        <v>90</v>
      </c>
      <c r="D318" s="5"/>
      <c r="E318" s="52">
        <f t="shared" si="23"/>
        <v>0</v>
      </c>
      <c r="F318" s="5"/>
    </row>
    <row r="319" spans="1:6" ht="14.5" x14ac:dyDescent="0.35">
      <c r="A319" s="5"/>
      <c r="B319" s="5"/>
      <c r="C319" s="5" t="s">
        <v>90</v>
      </c>
      <c r="D319" s="5"/>
      <c r="E319" s="52">
        <f t="shared" si="23"/>
        <v>0</v>
      </c>
      <c r="F319" s="5"/>
    </row>
    <row r="320" spans="1:6" ht="14.5" x14ac:dyDescent="0.35">
      <c r="A320" s="5"/>
      <c r="B320" s="5"/>
      <c r="C320" s="5" t="s">
        <v>90</v>
      </c>
      <c r="D320" s="5"/>
      <c r="E320" s="52">
        <f t="shared" si="23"/>
        <v>0</v>
      </c>
      <c r="F320" s="5"/>
    </row>
    <row r="321" spans="1:6" ht="14.5" x14ac:dyDescent="0.35">
      <c r="A321" s="5"/>
      <c r="B321" s="5"/>
      <c r="C321" s="5" t="s">
        <v>90</v>
      </c>
      <c r="D321" s="5"/>
      <c r="E321" s="52">
        <f t="shared" si="23"/>
        <v>0</v>
      </c>
      <c r="F321" s="5"/>
    </row>
    <row r="322" spans="1:6" ht="14.5" x14ac:dyDescent="0.35">
      <c r="A322" s="5"/>
      <c r="B322" s="5"/>
      <c r="C322" s="5" t="s">
        <v>90</v>
      </c>
      <c r="D322" s="5"/>
      <c r="E322" s="52">
        <f t="shared" si="23"/>
        <v>0</v>
      </c>
      <c r="F322" s="5"/>
    </row>
    <row r="323" spans="1:6" ht="14.5" x14ac:dyDescent="0.35">
      <c r="A323" s="5"/>
      <c r="B323" s="5"/>
      <c r="C323" s="5" t="s">
        <v>90</v>
      </c>
      <c r="D323" s="5"/>
      <c r="E323" s="52">
        <f t="shared" si="23"/>
        <v>0</v>
      </c>
      <c r="F323" s="5"/>
    </row>
    <row r="324" spans="1:6" ht="14.5" x14ac:dyDescent="0.35">
      <c r="A324" s="5"/>
      <c r="B324" s="5"/>
      <c r="C324" s="5"/>
      <c r="D324" s="5"/>
      <c r="E324" s="5"/>
      <c r="F324" s="5"/>
    </row>
    <row r="325" spans="1:6" ht="14.5" x14ac:dyDescent="0.35">
      <c r="A325" s="1" t="s">
        <v>122</v>
      </c>
      <c r="B325" s="1"/>
      <c r="C325" s="1"/>
      <c r="D325" s="1"/>
      <c r="E325" s="1"/>
      <c r="F325" s="51">
        <f>SUM(E327:E335)</f>
        <v>0</v>
      </c>
    </row>
    <row r="326" spans="1:6" ht="14.5" x14ac:dyDescent="0.35">
      <c r="A326" s="5"/>
      <c r="B326" s="5" t="s">
        <v>2</v>
      </c>
      <c r="C326" s="5"/>
      <c r="D326" s="5" t="s">
        <v>3</v>
      </c>
      <c r="E326" s="5" t="s">
        <v>4</v>
      </c>
      <c r="F326" s="5"/>
    </row>
    <row r="327" spans="1:6" ht="14.5" x14ac:dyDescent="0.35">
      <c r="A327" s="5"/>
      <c r="B327" s="5"/>
      <c r="C327" s="5" t="s">
        <v>90</v>
      </c>
      <c r="D327" s="5"/>
      <c r="E327" s="52">
        <f t="shared" ref="E327:E335" si="24">D327*B327</f>
        <v>0</v>
      </c>
      <c r="F327" s="5"/>
    </row>
    <row r="328" spans="1:6" ht="14.5" x14ac:dyDescent="0.35">
      <c r="A328" s="5"/>
      <c r="B328" s="5"/>
      <c r="C328" s="5" t="s">
        <v>90</v>
      </c>
      <c r="D328" s="5"/>
      <c r="E328" s="52">
        <f t="shared" si="24"/>
        <v>0</v>
      </c>
      <c r="F328" s="5"/>
    </row>
    <row r="329" spans="1:6" ht="14.5" x14ac:dyDescent="0.35">
      <c r="A329" s="5"/>
      <c r="B329" s="5"/>
      <c r="C329" s="5" t="s">
        <v>90</v>
      </c>
      <c r="D329" s="5"/>
      <c r="E329" s="52">
        <f t="shared" si="24"/>
        <v>0</v>
      </c>
      <c r="F329" s="5"/>
    </row>
    <row r="330" spans="1:6" ht="14.5" x14ac:dyDescent="0.35">
      <c r="A330" s="5"/>
      <c r="B330" s="5"/>
      <c r="C330" s="5" t="s">
        <v>90</v>
      </c>
      <c r="D330" s="5"/>
      <c r="E330" s="52">
        <f t="shared" si="24"/>
        <v>0</v>
      </c>
      <c r="F330" s="5"/>
    </row>
    <row r="331" spans="1:6" ht="14.5" x14ac:dyDescent="0.35">
      <c r="A331" s="5"/>
      <c r="B331" s="5"/>
      <c r="C331" s="5" t="s">
        <v>90</v>
      </c>
      <c r="D331" s="5"/>
      <c r="E331" s="52">
        <f t="shared" si="24"/>
        <v>0</v>
      </c>
      <c r="F331" s="5"/>
    </row>
    <row r="332" spans="1:6" ht="14.5" x14ac:dyDescent="0.35">
      <c r="A332" s="5"/>
      <c r="B332" s="5"/>
      <c r="C332" s="5" t="s">
        <v>90</v>
      </c>
      <c r="D332" s="5"/>
      <c r="E332" s="52">
        <f t="shared" si="24"/>
        <v>0</v>
      </c>
      <c r="F332" s="5"/>
    </row>
    <row r="333" spans="1:6" ht="14.5" x14ac:dyDescent="0.35">
      <c r="A333" s="5"/>
      <c r="B333" s="5"/>
      <c r="C333" s="5" t="s">
        <v>90</v>
      </c>
      <c r="D333" s="5"/>
      <c r="E333" s="52">
        <f t="shared" si="24"/>
        <v>0</v>
      </c>
      <c r="F333" s="5"/>
    </row>
    <row r="334" spans="1:6" ht="14.5" x14ac:dyDescent="0.35">
      <c r="A334" s="5"/>
      <c r="B334" s="5"/>
      <c r="C334" s="5" t="s">
        <v>90</v>
      </c>
      <c r="D334" s="5"/>
      <c r="E334" s="52">
        <f t="shared" si="24"/>
        <v>0</v>
      </c>
      <c r="F334" s="5"/>
    </row>
    <row r="335" spans="1:6" ht="14.5" x14ac:dyDescent="0.35">
      <c r="A335" s="5"/>
      <c r="B335" s="5"/>
      <c r="C335" s="5" t="s">
        <v>90</v>
      </c>
      <c r="D335" s="5"/>
      <c r="E335" s="52">
        <f t="shared" si="24"/>
        <v>0</v>
      </c>
      <c r="F335" s="5"/>
    </row>
    <row r="336" spans="1:6" ht="14.5" x14ac:dyDescent="0.35">
      <c r="A336" s="5"/>
      <c r="B336" s="5"/>
      <c r="C336" s="5"/>
      <c r="D336" s="5"/>
      <c r="E336" s="5"/>
      <c r="F336" s="5"/>
    </row>
    <row r="337" spans="1:6" ht="14.5" x14ac:dyDescent="0.35">
      <c r="A337" s="1" t="s">
        <v>122</v>
      </c>
      <c r="B337" s="1"/>
      <c r="C337" s="1"/>
      <c r="D337" s="1"/>
      <c r="E337" s="1"/>
      <c r="F337" s="51">
        <f>SUM(E339:E347)</f>
        <v>0</v>
      </c>
    </row>
    <row r="338" spans="1:6" ht="14.5" x14ac:dyDescent="0.35">
      <c r="A338" s="5"/>
      <c r="B338" s="5" t="s">
        <v>2</v>
      </c>
      <c r="C338" s="5"/>
      <c r="D338" s="5" t="s">
        <v>3</v>
      </c>
      <c r="E338" s="5" t="s">
        <v>4</v>
      </c>
      <c r="F338" s="5"/>
    </row>
    <row r="339" spans="1:6" ht="14.5" x14ac:dyDescent="0.35">
      <c r="A339" s="5"/>
      <c r="B339" s="5"/>
      <c r="C339" s="5" t="s">
        <v>90</v>
      </c>
      <c r="D339" s="5"/>
      <c r="E339" s="52">
        <f t="shared" ref="E339:E347" si="25">D339*B339</f>
        <v>0</v>
      </c>
      <c r="F339" s="5"/>
    </row>
    <row r="340" spans="1:6" ht="14.5" x14ac:dyDescent="0.35">
      <c r="A340" s="5"/>
      <c r="B340" s="5"/>
      <c r="C340" s="5" t="s">
        <v>90</v>
      </c>
      <c r="D340" s="5"/>
      <c r="E340" s="52">
        <f t="shared" si="25"/>
        <v>0</v>
      </c>
      <c r="F340" s="5"/>
    </row>
    <row r="341" spans="1:6" ht="14.5" x14ac:dyDescent="0.35">
      <c r="A341" s="5"/>
      <c r="B341" s="5"/>
      <c r="C341" s="5" t="s">
        <v>90</v>
      </c>
      <c r="D341" s="5"/>
      <c r="E341" s="52">
        <f t="shared" si="25"/>
        <v>0</v>
      </c>
      <c r="F341" s="5"/>
    </row>
    <row r="342" spans="1:6" ht="14.5" x14ac:dyDescent="0.35">
      <c r="A342" s="5"/>
      <c r="B342" s="5"/>
      <c r="C342" s="5" t="s">
        <v>90</v>
      </c>
      <c r="D342" s="5"/>
      <c r="E342" s="52">
        <f t="shared" si="25"/>
        <v>0</v>
      </c>
      <c r="F342" s="5"/>
    </row>
    <row r="343" spans="1:6" ht="14.5" x14ac:dyDescent="0.35">
      <c r="A343" s="5"/>
      <c r="B343" s="5"/>
      <c r="C343" s="5" t="s">
        <v>90</v>
      </c>
      <c r="D343" s="5"/>
      <c r="E343" s="52">
        <f t="shared" si="25"/>
        <v>0</v>
      </c>
      <c r="F343" s="5"/>
    </row>
    <row r="344" spans="1:6" ht="14.5" x14ac:dyDescent="0.35">
      <c r="A344" s="5"/>
      <c r="B344" s="5"/>
      <c r="C344" s="5" t="s">
        <v>90</v>
      </c>
      <c r="D344" s="5"/>
      <c r="E344" s="52">
        <f t="shared" si="25"/>
        <v>0</v>
      </c>
      <c r="F344" s="5"/>
    </row>
    <row r="345" spans="1:6" ht="14.5" x14ac:dyDescent="0.35">
      <c r="A345" s="5"/>
      <c r="B345" s="5"/>
      <c r="C345" s="5" t="s">
        <v>90</v>
      </c>
      <c r="D345" s="5"/>
      <c r="E345" s="52">
        <f t="shared" si="25"/>
        <v>0</v>
      </c>
      <c r="F345" s="5"/>
    </row>
    <row r="346" spans="1:6" ht="14.5" x14ac:dyDescent="0.35">
      <c r="A346" s="5"/>
      <c r="B346" s="5"/>
      <c r="C346" s="5" t="s">
        <v>90</v>
      </c>
      <c r="D346" s="5"/>
      <c r="E346" s="52">
        <f t="shared" si="25"/>
        <v>0</v>
      </c>
      <c r="F346" s="5"/>
    </row>
    <row r="347" spans="1:6" ht="14.5" x14ac:dyDescent="0.35">
      <c r="A347" s="5"/>
      <c r="B347" s="5"/>
      <c r="C347" s="5" t="s">
        <v>90</v>
      </c>
      <c r="D347" s="5"/>
      <c r="E347" s="52">
        <f t="shared" si="25"/>
        <v>0</v>
      </c>
      <c r="F347" s="5"/>
    </row>
    <row r="348" spans="1:6" ht="14.5" x14ac:dyDescent="0.35">
      <c r="A348" s="5"/>
      <c r="B348" s="5"/>
      <c r="C348" s="5"/>
      <c r="D348" s="5"/>
      <c r="E348" s="5"/>
      <c r="F348" s="5"/>
    </row>
    <row r="349" spans="1:6" ht="14.5" x14ac:dyDescent="0.35">
      <c r="A349" s="1" t="s">
        <v>122</v>
      </c>
      <c r="B349" s="1"/>
      <c r="C349" s="1"/>
      <c r="D349" s="1"/>
      <c r="E349" s="1"/>
      <c r="F349" s="51">
        <f>SUM(E351:E359)</f>
        <v>0</v>
      </c>
    </row>
    <row r="350" spans="1:6" ht="14.5" x14ac:dyDescent="0.35">
      <c r="A350" s="5"/>
      <c r="B350" s="5" t="s">
        <v>2</v>
      </c>
      <c r="C350" s="5"/>
      <c r="D350" s="5" t="s">
        <v>3</v>
      </c>
      <c r="E350" s="5" t="s">
        <v>4</v>
      </c>
      <c r="F350" s="5"/>
    </row>
    <row r="351" spans="1:6" ht="14.5" x14ac:dyDescent="0.35">
      <c r="A351" s="5"/>
      <c r="B351" s="5"/>
      <c r="C351" s="5" t="s">
        <v>90</v>
      </c>
      <c r="D351" s="5"/>
      <c r="E351" s="52">
        <f t="shared" ref="E351:E359" si="26">D351*B351</f>
        <v>0</v>
      </c>
      <c r="F351" s="5"/>
    </row>
    <row r="352" spans="1:6" ht="14.5" x14ac:dyDescent="0.35">
      <c r="A352" s="5"/>
      <c r="B352" s="5"/>
      <c r="C352" s="5" t="s">
        <v>90</v>
      </c>
      <c r="D352" s="5"/>
      <c r="E352" s="52">
        <f t="shared" si="26"/>
        <v>0</v>
      </c>
      <c r="F352" s="5"/>
    </row>
    <row r="353" spans="1:6" ht="14.5" x14ac:dyDescent="0.35">
      <c r="A353" s="5"/>
      <c r="B353" s="5"/>
      <c r="C353" s="5" t="s">
        <v>90</v>
      </c>
      <c r="D353" s="5"/>
      <c r="E353" s="52">
        <f t="shared" si="26"/>
        <v>0</v>
      </c>
      <c r="F353" s="5"/>
    </row>
    <row r="354" spans="1:6" ht="14.5" x14ac:dyDescent="0.35">
      <c r="A354" s="5"/>
      <c r="B354" s="5"/>
      <c r="C354" s="5" t="s">
        <v>90</v>
      </c>
      <c r="D354" s="5"/>
      <c r="E354" s="52">
        <f t="shared" si="26"/>
        <v>0</v>
      </c>
      <c r="F354" s="5"/>
    </row>
    <row r="355" spans="1:6" ht="14.5" x14ac:dyDescent="0.35">
      <c r="A355" s="5"/>
      <c r="B355" s="5"/>
      <c r="C355" s="5" t="s">
        <v>90</v>
      </c>
      <c r="D355" s="5"/>
      <c r="E355" s="52">
        <f t="shared" si="26"/>
        <v>0</v>
      </c>
      <c r="F355" s="5"/>
    </row>
    <row r="356" spans="1:6" ht="14.5" x14ac:dyDescent="0.35">
      <c r="A356" s="5"/>
      <c r="B356" s="5"/>
      <c r="C356" s="5" t="s">
        <v>90</v>
      </c>
      <c r="D356" s="5"/>
      <c r="E356" s="52">
        <f t="shared" si="26"/>
        <v>0</v>
      </c>
      <c r="F356" s="5"/>
    </row>
    <row r="357" spans="1:6" ht="14.5" x14ac:dyDescent="0.35">
      <c r="A357" s="5"/>
      <c r="B357" s="5"/>
      <c r="C357" s="5" t="s">
        <v>90</v>
      </c>
      <c r="D357" s="5"/>
      <c r="E357" s="52">
        <f t="shared" si="26"/>
        <v>0</v>
      </c>
      <c r="F357" s="5"/>
    </row>
    <row r="358" spans="1:6" ht="14.5" x14ac:dyDescent="0.35">
      <c r="A358" s="5"/>
      <c r="B358" s="5"/>
      <c r="C358" s="5" t="s">
        <v>90</v>
      </c>
      <c r="D358" s="5"/>
      <c r="E358" s="52">
        <f t="shared" si="26"/>
        <v>0</v>
      </c>
      <c r="F358" s="5"/>
    </row>
    <row r="359" spans="1:6" ht="14.5" x14ac:dyDescent="0.35">
      <c r="A359" s="5"/>
      <c r="B359" s="5"/>
      <c r="C359" s="5" t="s">
        <v>90</v>
      </c>
      <c r="D359" s="5"/>
      <c r="E359" s="52">
        <f t="shared" si="26"/>
        <v>0</v>
      </c>
      <c r="F35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GPC RC</vt:lpstr>
      <vt:lpstr>TC (Agenda Premise)</vt:lpstr>
      <vt:lpstr>TC - Expose Agadi</vt:lpstr>
      <vt:lpstr>Cost</vt:lpstr>
      <vt:lpstr>PH Umum 2024</vt:lpstr>
      <vt:lpstr>PH GPC RC 2024</vt:lpstr>
      <vt:lpstr>PH TC 2024</vt:lpstr>
      <vt:lpstr>PH TC 2 2024</vt:lpstr>
      <vt:lpstr>'GPC RC'!Print_Area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SPV1</dc:creator>
  <cp:lastModifiedBy>Terry Clement</cp:lastModifiedBy>
  <cp:lastPrinted>2022-10-27T03:41:21Z</cp:lastPrinted>
  <dcterms:created xsi:type="dcterms:W3CDTF">2018-11-16T01:10:53Z</dcterms:created>
  <dcterms:modified xsi:type="dcterms:W3CDTF">2025-10-06T07:45:07Z</dcterms:modified>
</cp:coreProperties>
</file>